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7487A0C-FF01-4F24-A07C-C62BA215B40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rtfolio" sheetId="1" r:id="rId1"/>
    <sheet name="Inputs" sheetId="5" r:id="rId2"/>
    <sheet name="Calculations" sheetId="3" r:id="rId3"/>
    <sheet name="Stress_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4" l="1"/>
  <c r="G63" i="4"/>
  <c r="G61" i="4"/>
  <c r="G60" i="4"/>
  <c r="G59" i="4"/>
  <c r="G57" i="4"/>
  <c r="H3" i="3"/>
  <c r="H4" i="3"/>
  <c r="H5" i="3"/>
  <c r="H6" i="3"/>
  <c r="H7" i="3"/>
  <c r="J7" i="3" s="1"/>
  <c r="H8" i="3"/>
  <c r="J8" i="3" s="1"/>
  <c r="H9" i="3"/>
  <c r="H10" i="3"/>
  <c r="H11" i="3"/>
  <c r="H12" i="3"/>
  <c r="H13" i="3"/>
  <c r="H14" i="3"/>
  <c r="H15" i="3"/>
  <c r="J15" i="3" s="1"/>
  <c r="H16" i="3"/>
  <c r="J16" i="3" s="1"/>
  <c r="H17" i="3"/>
  <c r="H18" i="3"/>
  <c r="H19" i="3"/>
  <c r="H20" i="3"/>
  <c r="J20" i="3" s="1"/>
  <c r="H21" i="3"/>
  <c r="H22" i="3"/>
  <c r="H23" i="3"/>
  <c r="J23" i="3" s="1"/>
  <c r="H24" i="3"/>
  <c r="J24" i="3" s="1"/>
  <c r="H25" i="3"/>
  <c r="H26" i="3"/>
  <c r="H27" i="3"/>
  <c r="H28" i="3"/>
  <c r="H29" i="3"/>
  <c r="H30" i="3"/>
  <c r="H31" i="3"/>
  <c r="H32" i="3"/>
  <c r="J32" i="3" s="1"/>
  <c r="H33" i="3"/>
  <c r="H34" i="3"/>
  <c r="H35" i="3"/>
  <c r="H36" i="3"/>
  <c r="H37" i="3"/>
  <c r="H38" i="3"/>
  <c r="H39" i="3"/>
  <c r="J39" i="3" s="1"/>
  <c r="H40" i="3"/>
  <c r="J40" i="3" s="1"/>
  <c r="H41" i="3"/>
  <c r="H42" i="3"/>
  <c r="H43" i="3"/>
  <c r="H44" i="3"/>
  <c r="H45" i="3"/>
  <c r="H46" i="3"/>
  <c r="H47" i="3"/>
  <c r="J47" i="3" s="1"/>
  <c r="H48" i="3"/>
  <c r="J48" i="3" s="1"/>
  <c r="H49" i="3"/>
  <c r="H50" i="3"/>
  <c r="H51" i="3"/>
  <c r="H2" i="3"/>
  <c r="J2" i="3" s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7" i="4"/>
  <c r="I53" i="3"/>
  <c r="D5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" i="3"/>
  <c r="J3" i="3"/>
  <c r="J4" i="3"/>
  <c r="J5" i="3"/>
  <c r="J6" i="3"/>
  <c r="J9" i="3"/>
  <c r="J10" i="3"/>
  <c r="J11" i="3"/>
  <c r="J12" i="3"/>
  <c r="J13" i="3"/>
  <c r="J14" i="3"/>
  <c r="J17" i="3"/>
  <c r="J18" i="3"/>
  <c r="J19" i="3"/>
  <c r="J21" i="3"/>
  <c r="J22" i="3"/>
  <c r="J25" i="3"/>
  <c r="J26" i="3"/>
  <c r="J27" i="3"/>
  <c r="J28" i="3"/>
  <c r="J29" i="3"/>
  <c r="J30" i="3"/>
  <c r="J31" i="3"/>
  <c r="J33" i="3"/>
  <c r="J34" i="3"/>
  <c r="J35" i="3"/>
  <c r="J36" i="3"/>
  <c r="J37" i="3"/>
  <c r="J38" i="3"/>
  <c r="J41" i="3"/>
  <c r="J42" i="3"/>
  <c r="J43" i="3"/>
  <c r="J44" i="3"/>
  <c r="J45" i="3"/>
  <c r="J46" i="3"/>
  <c r="J49" i="3"/>
  <c r="J50" i="3"/>
  <c r="J51" i="3"/>
  <c r="J53" i="3" l="1"/>
  <c r="M2" i="3" s="1"/>
  <c r="M3" i="3" s="1"/>
</calcChain>
</file>

<file path=xl/sharedStrings.xml><?xml version="1.0" encoding="utf-8"?>
<sst xmlns="http://schemas.openxmlformats.org/spreadsheetml/2006/main" count="394" uniqueCount="86">
  <si>
    <t>Customer_ID</t>
  </si>
  <si>
    <t>Segment</t>
  </si>
  <si>
    <t>Industry</t>
  </si>
  <si>
    <t>EAD</t>
  </si>
  <si>
    <t>PD</t>
  </si>
  <si>
    <t>LGD</t>
  </si>
  <si>
    <t>Maturity_Years</t>
  </si>
  <si>
    <t>C001</t>
  </si>
  <si>
    <t>Retail</t>
  </si>
  <si>
    <t>Trade</t>
  </si>
  <si>
    <t>C002</t>
  </si>
  <si>
    <t>Manufacturing</t>
  </si>
  <si>
    <t>C003</t>
  </si>
  <si>
    <t>FMCG</t>
  </si>
  <si>
    <t>C004</t>
  </si>
  <si>
    <t>C005</t>
  </si>
  <si>
    <t>Construction</t>
  </si>
  <si>
    <t>C006</t>
  </si>
  <si>
    <t>C007</t>
  </si>
  <si>
    <t>Services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</si>
  <si>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</si>
  <si>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</si>
  <si>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</si>
  <si>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</si>
  <si>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</si>
  <si>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</si>
  <si>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</si>
  <si>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</si>
  <si>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</si>
  <si>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</si>
  <si>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</si>
  <si>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</si>
  <si>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</si>
  <si>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</si>
  <si>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</si>
  <si>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</si>
  <si>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</si>
  <si>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</si>
  <si>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</si>
  <si>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</si>
  <si>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</si>
  <si>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</si>
  <si>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</si>
  <si>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</si>
  <si>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SME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</si>
  <si>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</si>
  <si>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</si>
  <si>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</si>
  <si>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</si>
  <si>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</si>
  <si>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</si>
  <si>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</si>
  <si>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</si>
  <si>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</si>
  <si>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</si>
  <si>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</si>
  <si>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</si>
  <si>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</si>
  <si>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</si>
  <si>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</si>
  <si>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Corporate</t>
  </si>
  <si>
    <t>C047</t>
  </si>
  <si>
    <t>C048</t>
  </si>
  <si>
    <t>C049</t>
  </si>
  <si>
    <t>C050</t>
  </si>
  <si>
    <t>Risk_Weight</t>
  </si>
  <si>
    <t>Capital</t>
  </si>
  <si>
    <t>Expected_Loss</t>
  </si>
  <si>
    <t>RWA</t>
  </si>
  <si>
    <t>TOTAL</t>
  </si>
  <si>
    <t>CAR</t>
  </si>
  <si>
    <t>Scenario</t>
  </si>
  <si>
    <t>PD_Multiplier</t>
  </si>
  <si>
    <t>LGD_Add</t>
  </si>
  <si>
    <t>Base</t>
  </si>
  <si>
    <t>Moderate</t>
  </si>
  <si>
    <t>Severe</t>
  </si>
  <si>
    <t>PD_Stress</t>
  </si>
  <si>
    <t>LGD_Stress</t>
  </si>
  <si>
    <t>EL_Stress</t>
  </si>
  <si>
    <t>Total_EL_Stress</t>
  </si>
  <si>
    <t>Capital_base</t>
  </si>
  <si>
    <t>Total_EL_base</t>
  </si>
  <si>
    <t>Total_RWA</t>
  </si>
  <si>
    <t>Capital_Stress</t>
  </si>
  <si>
    <t>CAR_Stress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</si>
</sst>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D56" sqref="D56"/>
    </sheetView>
  </sheetViews>
  <sheetFormatPr defaultRowHeight="14.4" x14ac:dyDescent="0.3"/>
  <cols>
    <col min="1" max="1" width="12.44140625" customWidth="1"/>
    <col min="3" max="3" width="13.88671875" customWidth="1"/>
    <col min="4" max="4" width="14.109375" customWidth="1"/>
    <col min="7" max="7" width="13.441406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247000000</v>
      </c>
      <c r="E2">
        <v>1.2200000000000001E-2</v>
      </c>
      <c r="F2">
        <v>0.47</v>
      </c>
      <c r="G2">
        <v>3</v>
      </c>
    </row>
    <row r="3" spans="1:7" x14ac:dyDescent="0.3">
      <c r="A3" t="s">
        <v>10</v>
      </c>
      <c r="B3" t="s">
        <v>8</v>
      </c>
      <c r="C3" t="s">
        <v>11</v>
      </c>
      <c r="D3">
        <v>109000000</v>
      </c>
      <c r="E3">
        <v>1.9699999999999999E-2</v>
      </c>
      <c r="F3">
        <v>0.45</v>
      </c>
      <c r="G3">
        <v>5</v>
      </c>
    </row>
    <row r="4" spans="1:7" x14ac:dyDescent="0.3">
      <c r="A4" t="s">
        <v>12</v>
      </c>
      <c r="B4" t="s">
        <v>8</v>
      </c>
      <c r="C4" t="s">
        <v>13</v>
      </c>
      <c r="D4">
        <v>123000000</v>
      </c>
      <c r="E4">
        <v>3.04E-2</v>
      </c>
      <c r="F4">
        <v>0.55000000000000004</v>
      </c>
      <c r="G4">
        <v>4</v>
      </c>
    </row>
    <row r="5" spans="1:7" x14ac:dyDescent="0.3">
      <c r="A5" t="s">
        <v>14</v>
      </c>
      <c r="B5" t="s">
        <v>8</v>
      </c>
      <c r="C5" t="s">
        <v>11</v>
      </c>
      <c r="D5">
        <v>416000000</v>
      </c>
      <c r="E5">
        <v>3.2099999999999997E-2</v>
      </c>
      <c r="F5">
        <v>0.41</v>
      </c>
      <c r="G5">
        <v>4</v>
      </c>
    </row>
    <row r="6" spans="1:7" x14ac:dyDescent="0.3">
      <c r="A6" t="s">
        <v>15</v>
      </c>
      <c r="B6" t="s">
        <v>8</v>
      </c>
      <c r="C6" t="s">
        <v>16</v>
      </c>
      <c r="D6">
        <v>94000000</v>
      </c>
      <c r="E6">
        <v>1.8599999999999998E-2</v>
      </c>
      <c r="F6">
        <v>0.39</v>
      </c>
      <c r="G6">
        <v>4</v>
      </c>
    </row>
    <row r="7" spans="1:7" x14ac:dyDescent="0.3">
      <c r="A7" t="s">
        <v>17</v>
      </c>
      <c r="B7" t="s">
        <v>8</v>
      </c>
      <c r="C7" t="s">
        <v>13</v>
      </c>
      <c r="D7">
        <v>262000000</v>
      </c>
      <c r="E7">
        <v>3.4099999999999998E-2</v>
      </c>
      <c r="F7">
        <v>0.47</v>
      </c>
      <c r="G7">
        <v>3</v>
      </c>
    </row>
    <row r="8" spans="1:7" x14ac:dyDescent="0.3">
      <c r="A8" t="s">
        <v>18</v>
      </c>
      <c r="B8" t="s">
        <v>8</v>
      </c>
      <c r="C8" t="s">
        <v>19</v>
      </c>
      <c r="D8">
        <v>356000000</v>
      </c>
      <c r="E8">
        <v>3.5200000000000002E-2</v>
      </c>
      <c r="F8">
        <v>0.49</v>
      </c>
      <c r="G8">
        <v>1</v>
      </c>
    </row>
    <row r="9" spans="1:7" x14ac:dyDescent="0.3">
      <c r="A9" t="s">
        <v>20</v>
      </c>
      <c r="B9" t="s">
        <v>8</v>
      </c>
      <c r="C9" t="s">
        <v>11</v>
      </c>
      <c r="D9">
        <v>248000000</v>
      </c>
      <c r="E9">
        <v>3.9E-2</v>
      </c>
      <c r="F9">
        <v>0.54</v>
      </c>
      <c r="G9">
        <v>1</v>
      </c>
    </row>
    <row r="10" spans="1:7" x14ac:dyDescent="0.3">
      <c r="A10" t="s">
        <v>21</v>
      </c>
      <c r="B10" t="s">
        <v>8</v>
      </c>
      <c r="C10" t="s">
        <v>13</v>
      </c>
      <c r="D10">
        <v>380000000</v>
      </c>
      <c r="E10">
        <v>2.9000000000000001E-2</v>
      </c>
      <c r="F10">
        <v>0.45</v>
      </c>
      <c r="G10">
        <v>3</v>
      </c>
    </row>
    <row r="11" spans="1:7" x14ac:dyDescent="0.3">
      <c r="A11" t="s">
        <v>22</v>
      </c>
      <c r="B11" t="s">
        <v>8</v>
      </c>
      <c r="C11" t="s">
        <v>9</v>
      </c>
      <c r="D11">
        <v>280000000</v>
      </c>
      <c r="E11">
        <v>2.5000000000000001E-2</v>
      </c>
      <c r="F11">
        <v>0.37</v>
      </c>
      <c r="G11">
        <v>4</v>
      </c>
    </row>
    <row r="12" spans="1:7" x14ac:dyDescent="0.3">
      <c r="A12" t="s">
        <v>23</v>
      </c>
      <c r="B12" t="s">
        <v>8</v>
      </c>
      <c r="C12" t="s">
        <v>11</v>
      </c>
      <c r="D12">
        <v>135000000</v>
      </c>
      <c r="E12">
        <v>3.2899999999999999E-2</v>
      </c>
      <c r="F12">
        <v>0.52</v>
      </c>
      <c r="G12">
        <v>3</v>
      </c>
    </row>
    <row r="13" spans="1:7" x14ac:dyDescent="0.3">
      <c r="A13" t="s">
        <v>24</v>
      </c>
      <c r="B13" t="s">
        <v>8</v>
      </c>
      <c r="C13" t="s">
        <v>16</v>
      </c>
      <c r="D13">
        <v>421000000</v>
      </c>
      <c r="E13">
        <v>3.2000000000000001E-2</v>
      </c>
      <c r="F13">
        <v>0.54</v>
      </c>
      <c r="G13">
        <v>1</v>
      </c>
    </row>
    <row r="14" spans="1:7" x14ac:dyDescent="0.3">
      <c r="A14" t="s">
        <v>25</v>
      </c>
      <c r="B14" t="s">
        <v>8</v>
      </c>
      <c r="C14" t="s">
        <v>11</v>
      </c>
      <c r="D14">
        <v>298000000</v>
      </c>
      <c r="E14">
        <v>1.2999999999999999E-2</v>
      </c>
      <c r="F14">
        <v>0.36</v>
      </c>
      <c r="G14">
        <v>4</v>
      </c>
    </row>
    <row r="15" spans="1:7" x14ac:dyDescent="0.3">
      <c r="A15" t="s">
        <v>26</v>
      </c>
      <c r="B15" t="s">
        <v>8</v>
      </c>
      <c r="C15" t="s">
        <v>9</v>
      </c>
      <c r="D15">
        <v>411000000</v>
      </c>
      <c r="E15">
        <v>2.7799999999999998E-2</v>
      </c>
      <c r="F15">
        <v>0.49</v>
      </c>
      <c r="G15">
        <v>2</v>
      </c>
    </row>
    <row r="16" spans="1:7" x14ac:dyDescent="0.3">
      <c r="A16" t="s">
        <v>27</v>
      </c>
      <c r="B16" t="s">
        <v>8</v>
      </c>
      <c r="C16" t="s">
        <v>19</v>
      </c>
      <c r="D16">
        <v>273000000</v>
      </c>
      <c r="E16">
        <v>2.3099999999999999E-2</v>
      </c>
      <c r="F16">
        <v>0.44</v>
      </c>
      <c r="G16">
        <v>4</v>
      </c>
    </row>
    <row r="17" spans="1:7" x14ac:dyDescent="0.3">
      <c r="A17" t="s">
        <v>28</v>
      </c>
      <c r="B17" t="s">
        <v>8</v>
      </c>
      <c r="C17" t="s">
        <v>16</v>
      </c>
      <c r="D17">
        <v>477000000</v>
      </c>
      <c r="E17">
        <v>3.5400000000000001E-2</v>
      </c>
      <c r="F17">
        <v>0.44</v>
      </c>
      <c r="G17">
        <v>4</v>
      </c>
    </row>
    <row r="18" spans="1:7" x14ac:dyDescent="0.3">
      <c r="A18" t="s">
        <v>29</v>
      </c>
      <c r="B18" t="s">
        <v>8</v>
      </c>
      <c r="C18" t="s">
        <v>9</v>
      </c>
      <c r="D18">
        <v>234000000</v>
      </c>
      <c r="E18">
        <v>2.76E-2</v>
      </c>
      <c r="F18">
        <v>0.5</v>
      </c>
      <c r="G18">
        <v>4</v>
      </c>
    </row>
    <row r="19" spans="1:7" x14ac:dyDescent="0.3">
      <c r="A19" t="s">
        <v>30</v>
      </c>
      <c r="B19" t="s">
        <v>8</v>
      </c>
      <c r="C19" t="s">
        <v>16</v>
      </c>
      <c r="D19">
        <v>141000000</v>
      </c>
      <c r="E19">
        <v>2.2499999999999999E-2</v>
      </c>
      <c r="F19">
        <v>0.46</v>
      </c>
      <c r="G19">
        <v>4</v>
      </c>
    </row>
    <row r="20" spans="1:7" x14ac:dyDescent="0.3">
      <c r="A20" t="s">
        <v>31</v>
      </c>
      <c r="B20" t="s">
        <v>8</v>
      </c>
      <c r="C20" t="s">
        <v>13</v>
      </c>
      <c r="D20">
        <v>191000000</v>
      </c>
      <c r="E20">
        <v>3.6600000000000001E-2</v>
      </c>
      <c r="F20">
        <v>0.45</v>
      </c>
      <c r="G20">
        <v>3</v>
      </c>
    </row>
    <row r="21" spans="1:7" x14ac:dyDescent="0.3">
      <c r="A21" t="s">
        <v>32</v>
      </c>
      <c r="B21" t="s">
        <v>8</v>
      </c>
      <c r="C21" t="s">
        <v>11</v>
      </c>
      <c r="D21">
        <v>383000000</v>
      </c>
      <c r="E21">
        <v>1.2500000000000001E-2</v>
      </c>
      <c r="F21">
        <v>0.53</v>
      </c>
      <c r="G21">
        <v>1</v>
      </c>
    </row>
    <row r="22" spans="1:7" x14ac:dyDescent="0.3">
      <c r="A22" t="s">
        <v>33</v>
      </c>
      <c r="B22" t="s">
        <v>8</v>
      </c>
      <c r="C22" t="s">
        <v>11</v>
      </c>
      <c r="D22">
        <v>390000000</v>
      </c>
      <c r="E22">
        <v>2.3400000000000001E-2</v>
      </c>
      <c r="F22">
        <v>0.52</v>
      </c>
      <c r="G22">
        <v>3</v>
      </c>
    </row>
    <row r="23" spans="1:7" x14ac:dyDescent="0.3">
      <c r="A23" t="s">
        <v>34</v>
      </c>
      <c r="B23" t="s">
        <v>8</v>
      </c>
      <c r="C23" t="s">
        <v>13</v>
      </c>
      <c r="D23">
        <v>236000000</v>
      </c>
      <c r="E23">
        <v>2.3699999999999999E-2</v>
      </c>
      <c r="F23">
        <v>0.54</v>
      </c>
      <c r="G23">
        <v>5</v>
      </c>
    </row>
    <row r="24" spans="1:7" x14ac:dyDescent="0.3">
      <c r="A24" t="s">
        <v>35</v>
      </c>
      <c r="B24" t="s">
        <v>8</v>
      </c>
      <c r="C24" t="s">
        <v>19</v>
      </c>
      <c r="D24">
        <v>241000000</v>
      </c>
      <c r="E24">
        <v>2.3099999999999999E-2</v>
      </c>
      <c r="F24">
        <v>0.46</v>
      </c>
      <c r="G24">
        <v>1</v>
      </c>
    </row>
    <row r="25" spans="1:7" x14ac:dyDescent="0.3">
      <c r="A25" t="s">
        <v>36</v>
      </c>
      <c r="B25" t="s">
        <v>8</v>
      </c>
      <c r="C25" t="s">
        <v>11</v>
      </c>
      <c r="D25">
        <v>350000000</v>
      </c>
      <c r="E25">
        <v>1.5800000000000002E-2</v>
      </c>
      <c r="F25">
        <v>0.38</v>
      </c>
      <c r="G25">
        <v>1</v>
      </c>
    </row>
    <row r="26" spans="1:7" x14ac:dyDescent="0.3">
      <c r="A26" t="s">
        <v>37</v>
      </c>
      <c r="B26" t="s">
        <v>8</v>
      </c>
      <c r="C26" t="s">
        <v>19</v>
      </c>
      <c r="D26">
        <v>323000000</v>
      </c>
      <c r="E26">
        <v>3.0800000000000001E-2</v>
      </c>
      <c r="F26">
        <v>0.41</v>
      </c>
      <c r="G26">
        <v>5</v>
      </c>
    </row>
    <row r="27" spans="1:7" x14ac:dyDescent="0.3">
      <c r="A27" t="s">
        <v>38</v>
      </c>
      <c r="B27" t="s">
        <v>8</v>
      </c>
      <c r="C27" t="s">
        <v>11</v>
      </c>
      <c r="D27">
        <v>388000000</v>
      </c>
      <c r="E27">
        <v>2.8199999999999999E-2</v>
      </c>
      <c r="F27">
        <v>0.39</v>
      </c>
      <c r="G27">
        <v>1</v>
      </c>
    </row>
    <row r="28" spans="1:7" x14ac:dyDescent="0.3">
      <c r="A28" t="s">
        <v>39</v>
      </c>
      <c r="B28" t="s">
        <v>8</v>
      </c>
      <c r="C28" t="s">
        <v>19</v>
      </c>
      <c r="D28">
        <v>333000000</v>
      </c>
      <c r="E28">
        <v>2.5399999999999999E-2</v>
      </c>
      <c r="F28">
        <v>0.37</v>
      </c>
      <c r="G28">
        <v>4</v>
      </c>
    </row>
    <row r="29" spans="1:7" x14ac:dyDescent="0.3">
      <c r="A29" t="s">
        <v>40</v>
      </c>
      <c r="B29" t="s">
        <v>8</v>
      </c>
      <c r="C29" t="s">
        <v>16</v>
      </c>
      <c r="D29">
        <v>164000000</v>
      </c>
      <c r="E29">
        <v>2.2499999999999999E-2</v>
      </c>
      <c r="F29">
        <v>0.47</v>
      </c>
      <c r="G29">
        <v>4</v>
      </c>
    </row>
    <row r="30" spans="1:7" x14ac:dyDescent="0.3">
      <c r="A30" t="s">
        <v>41</v>
      </c>
      <c r="B30" t="s">
        <v>8</v>
      </c>
      <c r="C30" t="s">
        <v>9</v>
      </c>
      <c r="D30">
        <v>304000000</v>
      </c>
      <c r="E30">
        <v>2.9600000000000001E-2</v>
      </c>
      <c r="F30">
        <v>0.54</v>
      </c>
      <c r="G30">
        <v>2</v>
      </c>
    </row>
    <row r="31" spans="1:7" x14ac:dyDescent="0.3">
      <c r="A31" t="s">
        <v>42</v>
      </c>
      <c r="B31" t="s">
        <v>8</v>
      </c>
      <c r="C31" t="s">
        <v>9</v>
      </c>
      <c r="D31">
        <v>81000000</v>
      </c>
      <c r="E31">
        <v>3.5299999999999998E-2</v>
      </c>
      <c r="F31">
        <v>0.51</v>
      </c>
      <c r="G31">
        <v>2</v>
      </c>
    </row>
    <row r="32" spans="1:7" x14ac:dyDescent="0.3">
      <c r="A32" t="s">
        <v>43</v>
      </c>
      <c r="B32" t="s">
        <v>44</v>
      </c>
      <c r="C32" t="s">
        <v>13</v>
      </c>
      <c r="D32">
        <v>4303000000</v>
      </c>
      <c r="E32">
        <v>4.9399999999999999E-2</v>
      </c>
      <c r="F32">
        <v>0.57999999999999996</v>
      </c>
      <c r="G32">
        <v>5</v>
      </c>
    </row>
    <row r="33" spans="1:7" x14ac:dyDescent="0.3">
      <c r="A33" t="s">
        <v>45</v>
      </c>
      <c r="B33" t="s">
        <v>44</v>
      </c>
      <c r="C33" t="s">
        <v>13</v>
      </c>
      <c r="D33">
        <v>2196000000</v>
      </c>
      <c r="E33">
        <v>5.0299999999999997E-2</v>
      </c>
      <c r="F33">
        <v>0.56999999999999995</v>
      </c>
      <c r="G33">
        <v>1</v>
      </c>
    </row>
    <row r="34" spans="1:7" x14ac:dyDescent="0.3">
      <c r="A34" t="s">
        <v>46</v>
      </c>
      <c r="B34" t="s">
        <v>44</v>
      </c>
      <c r="C34" t="s">
        <v>19</v>
      </c>
      <c r="D34">
        <v>4051000000</v>
      </c>
      <c r="E34">
        <v>4.1000000000000002E-2</v>
      </c>
      <c r="F34">
        <v>0.48</v>
      </c>
      <c r="G34">
        <v>3</v>
      </c>
    </row>
    <row r="35" spans="1:7" x14ac:dyDescent="0.3">
      <c r="A35" t="s">
        <v>47</v>
      </c>
      <c r="B35" t="s">
        <v>44</v>
      </c>
      <c r="C35" t="s">
        <v>19</v>
      </c>
      <c r="D35">
        <v>3155000000</v>
      </c>
      <c r="E35">
        <v>4.8599999999999997E-2</v>
      </c>
      <c r="F35">
        <v>0.51</v>
      </c>
      <c r="G35">
        <v>5</v>
      </c>
    </row>
    <row r="36" spans="1:7" x14ac:dyDescent="0.3">
      <c r="A36" t="s">
        <v>48</v>
      </c>
      <c r="B36" t="s">
        <v>44</v>
      </c>
      <c r="C36" t="s">
        <v>19</v>
      </c>
      <c r="D36">
        <v>4188000000</v>
      </c>
      <c r="E36">
        <v>3.5499999999999997E-2</v>
      </c>
      <c r="F36">
        <v>0.52</v>
      </c>
      <c r="G36">
        <v>3</v>
      </c>
    </row>
    <row r="37" spans="1:7" x14ac:dyDescent="0.3">
      <c r="A37" t="s">
        <v>49</v>
      </c>
      <c r="B37" t="s">
        <v>44</v>
      </c>
      <c r="C37" t="s">
        <v>16</v>
      </c>
      <c r="D37">
        <v>2517000000</v>
      </c>
      <c r="E37">
        <v>2.35E-2</v>
      </c>
      <c r="F37">
        <v>0.48</v>
      </c>
      <c r="G37">
        <v>3</v>
      </c>
    </row>
    <row r="38" spans="1:7" x14ac:dyDescent="0.3">
      <c r="A38" t="s">
        <v>50</v>
      </c>
      <c r="B38" t="s">
        <v>44</v>
      </c>
      <c r="C38" t="s">
        <v>16</v>
      </c>
      <c r="D38">
        <v>3936000000</v>
      </c>
      <c r="E38">
        <v>5.7500000000000002E-2</v>
      </c>
      <c r="F38">
        <v>0.41</v>
      </c>
      <c r="G38">
        <v>2</v>
      </c>
    </row>
    <row r="39" spans="1:7" x14ac:dyDescent="0.3">
      <c r="A39" t="s">
        <v>51</v>
      </c>
      <c r="B39" t="s">
        <v>44</v>
      </c>
      <c r="C39" t="s">
        <v>11</v>
      </c>
      <c r="D39">
        <v>2250000000</v>
      </c>
      <c r="E39">
        <v>3.3799999999999997E-2</v>
      </c>
      <c r="F39">
        <v>0.5</v>
      </c>
      <c r="G39">
        <v>3</v>
      </c>
    </row>
    <row r="40" spans="1:7" x14ac:dyDescent="0.3">
      <c r="A40" t="s">
        <v>52</v>
      </c>
      <c r="B40" t="s">
        <v>44</v>
      </c>
      <c r="C40" t="s">
        <v>11</v>
      </c>
      <c r="D40">
        <v>2761000000</v>
      </c>
      <c r="E40">
        <v>5.6099999999999997E-2</v>
      </c>
      <c r="F40">
        <v>0.54</v>
      </c>
      <c r="G40">
        <v>5</v>
      </c>
    </row>
    <row r="41" spans="1:7" x14ac:dyDescent="0.3">
      <c r="A41" t="s">
        <v>53</v>
      </c>
      <c r="B41" t="s">
        <v>44</v>
      </c>
      <c r="C41" t="s">
        <v>9</v>
      </c>
      <c r="D41">
        <v>2708000000</v>
      </c>
      <c r="E41">
        <v>3.7600000000000001E-2</v>
      </c>
      <c r="F41">
        <v>0.59</v>
      </c>
      <c r="G41">
        <v>2</v>
      </c>
    </row>
    <row r="42" spans="1:7" x14ac:dyDescent="0.3">
      <c r="A42" t="s">
        <v>54</v>
      </c>
      <c r="B42" t="s">
        <v>44</v>
      </c>
      <c r="C42" t="s">
        <v>11</v>
      </c>
      <c r="D42">
        <v>3286000000</v>
      </c>
      <c r="E42">
        <v>2.1600000000000001E-2</v>
      </c>
      <c r="F42">
        <v>0.51</v>
      </c>
      <c r="G42">
        <v>4</v>
      </c>
    </row>
    <row r="43" spans="1:7" x14ac:dyDescent="0.3">
      <c r="A43" t="s">
        <v>55</v>
      </c>
      <c r="B43" t="s">
        <v>44</v>
      </c>
      <c r="C43" t="s">
        <v>9</v>
      </c>
      <c r="D43">
        <v>4329000000</v>
      </c>
      <c r="E43">
        <v>5.9200000000000003E-2</v>
      </c>
      <c r="F43">
        <v>0.47</v>
      </c>
      <c r="G43">
        <v>2</v>
      </c>
    </row>
    <row r="44" spans="1:7" x14ac:dyDescent="0.3">
      <c r="A44" t="s">
        <v>56</v>
      </c>
      <c r="B44" t="s">
        <v>44</v>
      </c>
      <c r="C44" t="s">
        <v>11</v>
      </c>
      <c r="D44">
        <v>2259000000</v>
      </c>
      <c r="E44">
        <v>4.9500000000000002E-2</v>
      </c>
      <c r="F44">
        <v>0.56999999999999995</v>
      </c>
      <c r="G44">
        <v>2</v>
      </c>
    </row>
    <row r="45" spans="1:7" x14ac:dyDescent="0.3">
      <c r="A45" t="s">
        <v>57</v>
      </c>
      <c r="B45" t="s">
        <v>44</v>
      </c>
      <c r="C45" t="s">
        <v>9</v>
      </c>
      <c r="D45">
        <v>3079000000</v>
      </c>
      <c r="E45">
        <v>5.28E-2</v>
      </c>
      <c r="F45">
        <v>0.53</v>
      </c>
      <c r="G45">
        <v>4</v>
      </c>
    </row>
    <row r="46" spans="1:7" x14ac:dyDescent="0.3">
      <c r="A46" t="s">
        <v>58</v>
      </c>
      <c r="B46" t="s">
        <v>44</v>
      </c>
      <c r="C46" t="s">
        <v>16</v>
      </c>
      <c r="D46">
        <v>734000000</v>
      </c>
      <c r="E46">
        <v>5.8500000000000003E-2</v>
      </c>
      <c r="F46">
        <v>0.53</v>
      </c>
      <c r="G46">
        <v>2</v>
      </c>
    </row>
    <row r="47" spans="1:7" x14ac:dyDescent="0.3">
      <c r="A47" t="s">
        <v>59</v>
      </c>
      <c r="B47" t="s">
        <v>60</v>
      </c>
      <c r="C47" t="s">
        <v>11</v>
      </c>
      <c r="D47">
        <v>31000000000</v>
      </c>
      <c r="E47">
        <v>2.4799999999999999E-2</v>
      </c>
      <c r="F47">
        <v>0.35</v>
      </c>
      <c r="G47">
        <v>4</v>
      </c>
    </row>
    <row r="48" spans="1:7" x14ac:dyDescent="0.3">
      <c r="A48" t="s">
        <v>61</v>
      </c>
      <c r="B48" t="s">
        <v>60</v>
      </c>
      <c r="C48" t="s">
        <v>9</v>
      </c>
      <c r="D48">
        <v>16000000000</v>
      </c>
      <c r="E48">
        <v>1.47E-2</v>
      </c>
      <c r="F48">
        <v>0.46</v>
      </c>
      <c r="G48">
        <v>2</v>
      </c>
    </row>
    <row r="49" spans="1:7" x14ac:dyDescent="0.3">
      <c r="A49" t="s">
        <v>62</v>
      </c>
      <c r="B49" t="s">
        <v>60</v>
      </c>
      <c r="C49" t="s">
        <v>16</v>
      </c>
      <c r="D49">
        <v>25000000000</v>
      </c>
      <c r="E49">
        <v>1.7899999999999999E-2</v>
      </c>
      <c r="F49">
        <v>0.46</v>
      </c>
      <c r="G49">
        <v>5</v>
      </c>
    </row>
    <row r="50" spans="1:7" x14ac:dyDescent="0.3">
      <c r="A50" t="s">
        <v>63</v>
      </c>
      <c r="B50" t="s">
        <v>60</v>
      </c>
      <c r="C50" t="s">
        <v>19</v>
      </c>
      <c r="D50">
        <v>15000000000</v>
      </c>
      <c r="E50">
        <v>2.2100000000000002E-2</v>
      </c>
      <c r="F50">
        <v>0.34</v>
      </c>
      <c r="G50">
        <v>1</v>
      </c>
    </row>
    <row r="51" spans="1:7" x14ac:dyDescent="0.3">
      <c r="A51" t="s">
        <v>64</v>
      </c>
      <c r="B51" t="s">
        <v>60</v>
      </c>
      <c r="C51" t="s">
        <v>13</v>
      </c>
      <c r="D51">
        <v>45000000000</v>
      </c>
      <c r="E51">
        <v>2.0799999999999999E-2</v>
      </c>
      <c r="F51">
        <v>0.34</v>
      </c>
      <c r="G51">
        <v>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7869-CD5C-46B7-8B1E-9999B983A454}">
  <dimension ref="A1:B4"/>
  <sheetViews>
    <sheetView workbookViewId="0">
      <selection activeCell="C4" sqref="C4"/>
    </sheetView>
  </sheetViews>
  <sheetFormatPr defaultRowHeight="14.4" x14ac:dyDescent="0.3"/>
  <cols>
    <col min="1" max="1" width="11" customWidth="1"/>
    <col min="2" max="2" width="12.21875" customWidth="1"/>
  </cols>
  <sheetData>
    <row r="1" spans="1:2" ht="18.600000000000001" customHeight="1" x14ac:dyDescent="0.3">
      <c r="A1" s="4" t="s">
        <v>1</v>
      </c>
      <c r="B1" s="4" t="s">
        <v>65</v>
      </c>
    </row>
    <row r="2" spans="1:2" x14ac:dyDescent="0.3">
      <c r="A2" s="3" t="s">
        <v>8</v>
      </c>
      <c r="B2" s="3">
        <v>0.75</v>
      </c>
    </row>
    <row r="3" spans="1:2" x14ac:dyDescent="0.3">
      <c r="A3" s="3" t="s">
        <v>44</v>
      </c>
      <c r="B3" s="3">
        <v>1</v>
      </c>
    </row>
    <row r="4" spans="1:2" ht="15" customHeight="1" x14ac:dyDescent="0.3">
      <c r="A4" s="3" t="s">
        <v>60</v>
      </c>
      <c r="B4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A4A7-D51F-430E-8DF5-1EED12B9A54C}">
  <dimension ref="A1:M53"/>
  <sheetViews>
    <sheetView topLeftCell="A10" zoomScale="85" zoomScaleNormal="85" workbookViewId="0">
      <selection activeCell="L47" sqref="L47"/>
    </sheetView>
  </sheetViews>
  <sheetFormatPr defaultRowHeight="14.4" x14ac:dyDescent="0.3"/>
  <cols>
    <col min="1" max="1" width="11.5546875" customWidth="1"/>
    <col min="3" max="3" width="13" customWidth="1"/>
    <col min="4" max="4" width="10.5546875" customWidth="1"/>
    <col min="7" max="7" width="13.44140625" customWidth="1"/>
    <col min="8" max="8" width="11.33203125" customWidth="1"/>
    <col min="9" max="9" width="14.33203125" customWidth="1"/>
    <col min="10" max="10" width="13.5546875" customWidth="1"/>
    <col min="11" max="11" width="12.88671875" customWidth="1"/>
    <col min="13" max="13" width="12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65</v>
      </c>
      <c r="I1" s="1" t="s">
        <v>67</v>
      </c>
      <c r="J1" s="1" t="s">
        <v>68</v>
      </c>
    </row>
    <row r="2" spans="1:13" x14ac:dyDescent="0.3">
      <c r="A2" t="s">
        <v>7</v>
      </c>
      <c r="B2" t="s">
        <v>8</v>
      </c>
      <c r="C2" t="s">
        <v>9</v>
      </c>
      <c r="D2">
        <v>247000000</v>
      </c>
      <c r="E2">
        <v>1.2200000000000001E-2</v>
      </c>
      <c r="F2">
        <v>0.47</v>
      </c>
      <c r="G2">
        <v>3</v>
      </c>
      <c r="H2">
        <f>_xlfn.XLOOKUP(B2,Inputs!A:A,Inputs!B:B)</f>
        <v>0.75</v>
      </c>
      <c r="I2">
        <f>D2*E2*F2</f>
        <v>1416298</v>
      </c>
      <c r="J2">
        <f>D2*H2</f>
        <v>185250000</v>
      </c>
      <c r="L2" s="1" t="s">
        <v>66</v>
      </c>
      <c r="M2">
        <f>J53*0.1</f>
        <v>18396875000</v>
      </c>
    </row>
    <row r="3" spans="1:13" x14ac:dyDescent="0.3">
      <c r="A3" t="s">
        <v>10</v>
      </c>
      <c r="B3" t="s">
        <v>8</v>
      </c>
      <c r="C3" t="s">
        <v>11</v>
      </c>
      <c r="D3">
        <v>109000000</v>
      </c>
      <c r="E3">
        <v>1.9699999999999999E-2</v>
      </c>
      <c r="F3">
        <v>0.45</v>
      </c>
      <c r="G3">
        <v>5</v>
      </c>
      <c r="H3">
        <f>_xlfn.XLOOKUP(B3,Inputs!A:A,Inputs!B:B)</f>
        <v>0.75</v>
      </c>
      <c r="I3">
        <f t="shared" ref="I3:I51" si="0">D3*E3*F3</f>
        <v>966285</v>
      </c>
      <c r="J3">
        <f t="shared" ref="J3:J51" si="1">D3*H3</f>
        <v>81750000</v>
      </c>
      <c r="L3" s="1" t="s">
        <v>70</v>
      </c>
      <c r="M3" s="2">
        <f>M2/J53</f>
        <v>0.1</v>
      </c>
    </row>
    <row r="4" spans="1:13" x14ac:dyDescent="0.3">
      <c r="A4" t="s">
        <v>12</v>
      </c>
      <c r="B4" t="s">
        <v>8</v>
      </c>
      <c r="C4" t="s">
        <v>13</v>
      </c>
      <c r="D4">
        <v>123000000</v>
      </c>
      <c r="E4">
        <v>3.04E-2</v>
      </c>
      <c r="F4">
        <v>0.55000000000000004</v>
      </c>
      <c r="G4">
        <v>4</v>
      </c>
      <c r="H4">
        <f>_xlfn.XLOOKUP(B4,Inputs!A:A,Inputs!B:B)</f>
        <v>0.75</v>
      </c>
      <c r="I4">
        <f t="shared" si="0"/>
        <v>2056560.0000000002</v>
      </c>
      <c r="J4">
        <f t="shared" si="1"/>
        <v>92250000</v>
      </c>
    </row>
    <row r="5" spans="1:13" x14ac:dyDescent="0.3">
      <c r="A5" t="s">
        <v>14</v>
      </c>
      <c r="B5" t="s">
        <v>8</v>
      </c>
      <c r="C5" t="s">
        <v>11</v>
      </c>
      <c r="D5">
        <v>416000000</v>
      </c>
      <c r="E5">
        <v>3.2099999999999997E-2</v>
      </c>
      <c r="F5">
        <v>0.41</v>
      </c>
      <c r="G5">
        <v>4</v>
      </c>
      <c r="H5">
        <f>_xlfn.XLOOKUP(B5,Inputs!A:A,Inputs!B:B)</f>
        <v>0.75</v>
      </c>
      <c r="I5">
        <f t="shared" si="0"/>
        <v>5474975.9999999991</v>
      </c>
      <c r="J5">
        <f t="shared" si="1"/>
        <v>312000000</v>
      </c>
    </row>
    <row r="6" spans="1:13" x14ac:dyDescent="0.3">
      <c r="A6" t="s">
        <v>15</v>
      </c>
      <c r="B6" t="s">
        <v>8</v>
      </c>
      <c r="C6" t="s">
        <v>16</v>
      </c>
      <c r="D6">
        <v>94000000</v>
      </c>
      <c r="E6">
        <v>1.8599999999999998E-2</v>
      </c>
      <c r="F6">
        <v>0.39</v>
      </c>
      <c r="G6">
        <v>4</v>
      </c>
      <c r="H6">
        <f>_xlfn.XLOOKUP(B6,Inputs!A:A,Inputs!B:B)</f>
        <v>0.75</v>
      </c>
      <c r="I6">
        <f t="shared" si="0"/>
        <v>681875.99999999988</v>
      </c>
      <c r="J6">
        <f t="shared" si="1"/>
        <v>70500000</v>
      </c>
    </row>
    <row r="7" spans="1:13" x14ac:dyDescent="0.3">
      <c r="A7" t="s">
        <v>17</v>
      </c>
      <c r="B7" t="s">
        <v>8</v>
      </c>
      <c r="C7" t="s">
        <v>13</v>
      </c>
      <c r="D7">
        <v>262000000</v>
      </c>
      <c r="E7">
        <v>3.4099999999999998E-2</v>
      </c>
      <c r="F7">
        <v>0.47</v>
      </c>
      <c r="G7">
        <v>3</v>
      </c>
      <c r="H7">
        <f>_xlfn.XLOOKUP(B7,Inputs!A:A,Inputs!B:B)</f>
        <v>0.75</v>
      </c>
      <c r="I7">
        <f t="shared" si="0"/>
        <v>4199074</v>
      </c>
      <c r="J7">
        <f t="shared" si="1"/>
        <v>196500000</v>
      </c>
    </row>
    <row r="8" spans="1:13" x14ac:dyDescent="0.3">
      <c r="A8" t="s">
        <v>18</v>
      </c>
      <c r="B8" t="s">
        <v>8</v>
      </c>
      <c r="C8" t="s">
        <v>19</v>
      </c>
      <c r="D8">
        <v>356000000</v>
      </c>
      <c r="E8">
        <v>3.5200000000000002E-2</v>
      </c>
      <c r="F8">
        <v>0.49</v>
      </c>
      <c r="G8">
        <v>1</v>
      </c>
      <c r="H8">
        <f>_xlfn.XLOOKUP(B8,Inputs!A:A,Inputs!B:B)</f>
        <v>0.75</v>
      </c>
      <c r="I8">
        <f t="shared" si="0"/>
        <v>6140288</v>
      </c>
      <c r="J8">
        <f t="shared" si="1"/>
        <v>267000000</v>
      </c>
    </row>
    <row r="9" spans="1:13" x14ac:dyDescent="0.3">
      <c r="A9" t="s">
        <v>20</v>
      </c>
      <c r="B9" t="s">
        <v>8</v>
      </c>
      <c r="C9" t="s">
        <v>11</v>
      </c>
      <c r="D9">
        <v>248000000</v>
      </c>
      <c r="E9">
        <v>3.9E-2</v>
      </c>
      <c r="F9">
        <v>0.54</v>
      </c>
      <c r="G9">
        <v>1</v>
      </c>
      <c r="H9">
        <f>_xlfn.XLOOKUP(B9,Inputs!A:A,Inputs!B:B)</f>
        <v>0.75</v>
      </c>
      <c r="I9">
        <f t="shared" si="0"/>
        <v>5222880</v>
      </c>
      <c r="J9">
        <f t="shared" si="1"/>
        <v>186000000</v>
      </c>
    </row>
    <row r="10" spans="1:13" x14ac:dyDescent="0.3">
      <c r="A10" t="s">
        <v>21</v>
      </c>
      <c r="B10" t="s">
        <v>8</v>
      </c>
      <c r="C10" t="s">
        <v>13</v>
      </c>
      <c r="D10">
        <v>380000000</v>
      </c>
      <c r="E10">
        <v>2.9000000000000001E-2</v>
      </c>
      <c r="F10">
        <v>0.45</v>
      </c>
      <c r="G10">
        <v>3</v>
      </c>
      <c r="H10">
        <f>_xlfn.XLOOKUP(B10,Inputs!A:A,Inputs!B:B)</f>
        <v>0.75</v>
      </c>
      <c r="I10">
        <f t="shared" si="0"/>
        <v>4959000</v>
      </c>
      <c r="J10">
        <f t="shared" si="1"/>
        <v>285000000</v>
      </c>
    </row>
    <row r="11" spans="1:13" x14ac:dyDescent="0.3">
      <c r="A11" t="s">
        <v>22</v>
      </c>
      <c r="B11" t="s">
        <v>8</v>
      </c>
      <c r="C11" t="s">
        <v>9</v>
      </c>
      <c r="D11">
        <v>280000000</v>
      </c>
      <c r="E11">
        <v>2.5000000000000001E-2</v>
      </c>
      <c r="F11">
        <v>0.37</v>
      </c>
      <c r="G11">
        <v>4</v>
      </c>
      <c r="H11">
        <f>_xlfn.XLOOKUP(B11,Inputs!A:A,Inputs!B:B)</f>
        <v>0.75</v>
      </c>
      <c r="I11">
        <f t="shared" si="0"/>
        <v>2590000</v>
      </c>
      <c r="J11">
        <f t="shared" si="1"/>
        <v>210000000</v>
      </c>
    </row>
    <row r="12" spans="1:13" x14ac:dyDescent="0.3">
      <c r="A12" t="s">
        <v>23</v>
      </c>
      <c r="B12" t="s">
        <v>8</v>
      </c>
      <c r="C12" t="s">
        <v>11</v>
      </c>
      <c r="D12">
        <v>135000000</v>
      </c>
      <c r="E12">
        <v>3.2899999999999999E-2</v>
      </c>
      <c r="F12">
        <v>0.52</v>
      </c>
      <c r="G12">
        <v>3</v>
      </c>
      <c r="H12">
        <f>_xlfn.XLOOKUP(B12,Inputs!A:A,Inputs!B:B)</f>
        <v>0.75</v>
      </c>
      <c r="I12">
        <f t="shared" si="0"/>
        <v>2309580</v>
      </c>
      <c r="J12">
        <f t="shared" si="1"/>
        <v>101250000</v>
      </c>
    </row>
    <row r="13" spans="1:13" x14ac:dyDescent="0.3">
      <c r="A13" t="s">
        <v>24</v>
      </c>
      <c r="B13" t="s">
        <v>8</v>
      </c>
      <c r="C13" t="s">
        <v>16</v>
      </c>
      <c r="D13">
        <v>421000000</v>
      </c>
      <c r="E13">
        <v>3.2000000000000001E-2</v>
      </c>
      <c r="F13">
        <v>0.54</v>
      </c>
      <c r="G13">
        <v>1</v>
      </c>
      <c r="H13">
        <f>_xlfn.XLOOKUP(B13,Inputs!A:A,Inputs!B:B)</f>
        <v>0.75</v>
      </c>
      <c r="I13">
        <f t="shared" si="0"/>
        <v>7274880.0000000009</v>
      </c>
      <c r="J13">
        <f t="shared" si="1"/>
        <v>315750000</v>
      </c>
    </row>
    <row r="14" spans="1:13" x14ac:dyDescent="0.3">
      <c r="A14" t="s">
        <v>25</v>
      </c>
      <c r="B14" t="s">
        <v>8</v>
      </c>
      <c r="C14" t="s">
        <v>11</v>
      </c>
      <c r="D14">
        <v>298000000</v>
      </c>
      <c r="E14">
        <v>1.2999999999999999E-2</v>
      </c>
      <c r="F14">
        <v>0.36</v>
      </c>
      <c r="G14">
        <v>4</v>
      </c>
      <c r="H14">
        <f>_xlfn.XLOOKUP(B14,Inputs!A:A,Inputs!B:B)</f>
        <v>0.75</v>
      </c>
      <c r="I14">
        <f t="shared" si="0"/>
        <v>1394640</v>
      </c>
      <c r="J14">
        <f t="shared" si="1"/>
        <v>223500000</v>
      </c>
    </row>
    <row r="15" spans="1:13" x14ac:dyDescent="0.3">
      <c r="A15" t="s">
        <v>26</v>
      </c>
      <c r="B15" t="s">
        <v>8</v>
      </c>
      <c r="C15" t="s">
        <v>9</v>
      </c>
      <c r="D15">
        <v>411000000</v>
      </c>
      <c r="E15">
        <v>2.7799999999999998E-2</v>
      </c>
      <c r="F15">
        <v>0.49</v>
      </c>
      <c r="G15">
        <v>2</v>
      </c>
      <c r="H15">
        <f>_xlfn.XLOOKUP(B15,Inputs!A:A,Inputs!B:B)</f>
        <v>0.75</v>
      </c>
      <c r="I15">
        <f t="shared" si="0"/>
        <v>5598642</v>
      </c>
      <c r="J15">
        <f t="shared" si="1"/>
        <v>308250000</v>
      </c>
    </row>
    <row r="16" spans="1:13" x14ac:dyDescent="0.3">
      <c r="A16" t="s">
        <v>27</v>
      </c>
      <c r="B16" t="s">
        <v>8</v>
      </c>
      <c r="C16" t="s">
        <v>19</v>
      </c>
      <c r="D16">
        <v>273000000</v>
      </c>
      <c r="E16">
        <v>2.3099999999999999E-2</v>
      </c>
      <c r="F16">
        <v>0.44</v>
      </c>
      <c r="G16">
        <v>4</v>
      </c>
      <c r="H16">
        <f>_xlfn.XLOOKUP(B16,Inputs!A:A,Inputs!B:B)</f>
        <v>0.75</v>
      </c>
      <c r="I16">
        <f t="shared" si="0"/>
        <v>2774772</v>
      </c>
      <c r="J16">
        <f t="shared" si="1"/>
        <v>204750000</v>
      </c>
    </row>
    <row r="17" spans="1:10" x14ac:dyDescent="0.3">
      <c r="A17" t="s">
        <v>28</v>
      </c>
      <c r="B17" t="s">
        <v>8</v>
      </c>
      <c r="C17" t="s">
        <v>16</v>
      </c>
      <c r="D17">
        <v>477000000</v>
      </c>
      <c r="E17">
        <v>3.5400000000000001E-2</v>
      </c>
      <c r="F17">
        <v>0.44</v>
      </c>
      <c r="G17">
        <v>4</v>
      </c>
      <c r="H17">
        <f>_xlfn.XLOOKUP(B17,Inputs!A:A,Inputs!B:B)</f>
        <v>0.75</v>
      </c>
      <c r="I17">
        <f t="shared" si="0"/>
        <v>7429752</v>
      </c>
      <c r="J17">
        <f t="shared" si="1"/>
        <v>357750000</v>
      </c>
    </row>
    <row r="18" spans="1:10" x14ac:dyDescent="0.3">
      <c r="A18" t="s">
        <v>29</v>
      </c>
      <c r="B18" t="s">
        <v>8</v>
      </c>
      <c r="C18" t="s">
        <v>9</v>
      </c>
      <c r="D18">
        <v>234000000</v>
      </c>
      <c r="E18">
        <v>2.76E-2</v>
      </c>
      <c r="F18">
        <v>0.5</v>
      </c>
      <c r="G18">
        <v>4</v>
      </c>
      <c r="H18">
        <f>_xlfn.XLOOKUP(B18,Inputs!A:A,Inputs!B:B)</f>
        <v>0.75</v>
      </c>
      <c r="I18">
        <f t="shared" si="0"/>
        <v>3229200</v>
      </c>
      <c r="J18">
        <f t="shared" si="1"/>
        <v>175500000</v>
      </c>
    </row>
    <row r="19" spans="1:10" x14ac:dyDescent="0.3">
      <c r="A19" t="s">
        <v>30</v>
      </c>
      <c r="B19" t="s">
        <v>8</v>
      </c>
      <c r="C19" t="s">
        <v>16</v>
      </c>
      <c r="D19">
        <v>141000000</v>
      </c>
      <c r="E19">
        <v>2.2499999999999999E-2</v>
      </c>
      <c r="F19">
        <v>0.46</v>
      </c>
      <c r="G19">
        <v>4</v>
      </c>
      <c r="H19">
        <f>_xlfn.XLOOKUP(B19,Inputs!A:A,Inputs!B:B)</f>
        <v>0.75</v>
      </c>
      <c r="I19">
        <f t="shared" si="0"/>
        <v>1459350</v>
      </c>
      <c r="J19">
        <f t="shared" si="1"/>
        <v>105750000</v>
      </c>
    </row>
    <row r="20" spans="1:10" x14ac:dyDescent="0.3">
      <c r="A20" t="s">
        <v>31</v>
      </c>
      <c r="B20" t="s">
        <v>8</v>
      </c>
      <c r="C20" t="s">
        <v>13</v>
      </c>
      <c r="D20">
        <v>191000000</v>
      </c>
      <c r="E20">
        <v>3.6600000000000001E-2</v>
      </c>
      <c r="F20">
        <v>0.45</v>
      </c>
      <c r="G20">
        <v>3</v>
      </c>
      <c r="H20">
        <f>_xlfn.XLOOKUP(B20,Inputs!A:A,Inputs!B:B)</f>
        <v>0.75</v>
      </c>
      <c r="I20">
        <f t="shared" si="0"/>
        <v>3145770</v>
      </c>
      <c r="J20">
        <f t="shared" si="1"/>
        <v>143250000</v>
      </c>
    </row>
    <row r="21" spans="1:10" x14ac:dyDescent="0.3">
      <c r="A21" t="s">
        <v>32</v>
      </c>
      <c r="B21" t="s">
        <v>8</v>
      </c>
      <c r="C21" t="s">
        <v>11</v>
      </c>
      <c r="D21">
        <v>383000000</v>
      </c>
      <c r="E21">
        <v>1.2500000000000001E-2</v>
      </c>
      <c r="F21">
        <v>0.53</v>
      </c>
      <c r="G21">
        <v>1</v>
      </c>
      <c r="H21">
        <f>_xlfn.XLOOKUP(B21,Inputs!A:A,Inputs!B:B)</f>
        <v>0.75</v>
      </c>
      <c r="I21">
        <f t="shared" si="0"/>
        <v>2537375</v>
      </c>
      <c r="J21">
        <f t="shared" si="1"/>
        <v>287250000</v>
      </c>
    </row>
    <row r="22" spans="1:10" x14ac:dyDescent="0.3">
      <c r="A22" t="s">
        <v>33</v>
      </c>
      <c r="B22" t="s">
        <v>8</v>
      </c>
      <c r="C22" t="s">
        <v>11</v>
      </c>
      <c r="D22">
        <v>390000000</v>
      </c>
      <c r="E22">
        <v>2.3400000000000001E-2</v>
      </c>
      <c r="F22">
        <v>0.52</v>
      </c>
      <c r="G22">
        <v>3</v>
      </c>
      <c r="H22">
        <f>_xlfn.XLOOKUP(B22,Inputs!A:A,Inputs!B:B)</f>
        <v>0.75</v>
      </c>
      <c r="I22">
        <f t="shared" si="0"/>
        <v>4745520</v>
      </c>
      <c r="J22">
        <f t="shared" si="1"/>
        <v>292500000</v>
      </c>
    </row>
    <row r="23" spans="1:10" x14ac:dyDescent="0.3">
      <c r="A23" t="s">
        <v>34</v>
      </c>
      <c r="B23" t="s">
        <v>8</v>
      </c>
      <c r="C23" t="s">
        <v>13</v>
      </c>
      <c r="D23">
        <v>236000000</v>
      </c>
      <c r="E23">
        <v>2.3699999999999999E-2</v>
      </c>
      <c r="F23">
        <v>0.54</v>
      </c>
      <c r="G23">
        <v>5</v>
      </c>
      <c r="H23">
        <f>_xlfn.XLOOKUP(B23,Inputs!A:A,Inputs!B:B)</f>
        <v>0.75</v>
      </c>
      <c r="I23">
        <f t="shared" si="0"/>
        <v>3020328</v>
      </c>
      <c r="J23">
        <f t="shared" si="1"/>
        <v>177000000</v>
      </c>
    </row>
    <row r="24" spans="1:10" x14ac:dyDescent="0.3">
      <c r="A24" t="s">
        <v>35</v>
      </c>
      <c r="B24" t="s">
        <v>8</v>
      </c>
      <c r="C24" t="s">
        <v>19</v>
      </c>
      <c r="D24">
        <v>241000000</v>
      </c>
      <c r="E24">
        <v>2.3099999999999999E-2</v>
      </c>
      <c r="F24">
        <v>0.46</v>
      </c>
      <c r="G24">
        <v>1</v>
      </c>
      <c r="H24">
        <f>_xlfn.XLOOKUP(B24,Inputs!A:A,Inputs!B:B)</f>
        <v>0.75</v>
      </c>
      <c r="I24">
        <f t="shared" si="0"/>
        <v>2560866</v>
      </c>
      <c r="J24">
        <f t="shared" si="1"/>
        <v>180750000</v>
      </c>
    </row>
    <row r="25" spans="1:10" x14ac:dyDescent="0.3">
      <c r="A25" t="s">
        <v>36</v>
      </c>
      <c r="B25" t="s">
        <v>8</v>
      </c>
      <c r="C25" t="s">
        <v>11</v>
      </c>
      <c r="D25">
        <v>350000000</v>
      </c>
      <c r="E25">
        <v>1.5800000000000002E-2</v>
      </c>
      <c r="F25">
        <v>0.38</v>
      </c>
      <c r="G25">
        <v>1</v>
      </c>
      <c r="H25">
        <f>_xlfn.XLOOKUP(B25,Inputs!A:A,Inputs!B:B)</f>
        <v>0.75</v>
      </c>
      <c r="I25">
        <f t="shared" si="0"/>
        <v>2101400.0000000005</v>
      </c>
      <c r="J25">
        <f t="shared" si="1"/>
        <v>262500000</v>
      </c>
    </row>
    <row r="26" spans="1:10" x14ac:dyDescent="0.3">
      <c r="A26" t="s">
        <v>37</v>
      </c>
      <c r="B26" t="s">
        <v>8</v>
      </c>
      <c r="C26" t="s">
        <v>19</v>
      </c>
      <c r="D26">
        <v>323000000</v>
      </c>
      <c r="E26">
        <v>3.0800000000000001E-2</v>
      </c>
      <c r="F26">
        <v>0.41</v>
      </c>
      <c r="G26">
        <v>5</v>
      </c>
      <c r="H26">
        <f>_xlfn.XLOOKUP(B26,Inputs!A:A,Inputs!B:B)</f>
        <v>0.75</v>
      </c>
      <c r="I26">
        <f t="shared" si="0"/>
        <v>4078843.9999999995</v>
      </c>
      <c r="J26">
        <f t="shared" si="1"/>
        <v>242250000</v>
      </c>
    </row>
    <row r="27" spans="1:10" x14ac:dyDescent="0.3">
      <c r="A27" t="s">
        <v>38</v>
      </c>
      <c r="B27" t="s">
        <v>8</v>
      </c>
      <c r="C27" t="s">
        <v>11</v>
      </c>
      <c r="D27">
        <v>388000000</v>
      </c>
      <c r="E27">
        <v>2.8199999999999999E-2</v>
      </c>
      <c r="F27">
        <v>0.39</v>
      </c>
      <c r="G27">
        <v>1</v>
      </c>
      <c r="H27">
        <f>_xlfn.XLOOKUP(B27,Inputs!A:A,Inputs!B:B)</f>
        <v>0.75</v>
      </c>
      <c r="I27">
        <f t="shared" si="0"/>
        <v>4267224</v>
      </c>
      <c r="J27">
        <f t="shared" si="1"/>
        <v>291000000</v>
      </c>
    </row>
    <row r="28" spans="1:10" x14ac:dyDescent="0.3">
      <c r="A28" t="s">
        <v>39</v>
      </c>
      <c r="B28" t="s">
        <v>8</v>
      </c>
      <c r="C28" t="s">
        <v>19</v>
      </c>
      <c r="D28">
        <v>333000000</v>
      </c>
      <c r="E28">
        <v>2.5399999999999999E-2</v>
      </c>
      <c r="F28">
        <v>0.37</v>
      </c>
      <c r="G28">
        <v>4</v>
      </c>
      <c r="H28">
        <f>_xlfn.XLOOKUP(B28,Inputs!A:A,Inputs!B:B)</f>
        <v>0.75</v>
      </c>
      <c r="I28">
        <f t="shared" si="0"/>
        <v>3129534</v>
      </c>
      <c r="J28">
        <f t="shared" si="1"/>
        <v>249750000</v>
      </c>
    </row>
    <row r="29" spans="1:10" x14ac:dyDescent="0.3">
      <c r="A29" t="s">
        <v>40</v>
      </c>
      <c r="B29" t="s">
        <v>8</v>
      </c>
      <c r="C29" t="s">
        <v>16</v>
      </c>
      <c r="D29">
        <v>164000000</v>
      </c>
      <c r="E29">
        <v>2.2499999999999999E-2</v>
      </c>
      <c r="F29">
        <v>0.47</v>
      </c>
      <c r="G29">
        <v>4</v>
      </c>
      <c r="H29">
        <f>_xlfn.XLOOKUP(B29,Inputs!A:A,Inputs!B:B)</f>
        <v>0.75</v>
      </c>
      <c r="I29">
        <f t="shared" si="0"/>
        <v>1734300</v>
      </c>
      <c r="J29">
        <f t="shared" si="1"/>
        <v>123000000</v>
      </c>
    </row>
    <row r="30" spans="1:10" x14ac:dyDescent="0.3">
      <c r="A30" t="s">
        <v>41</v>
      </c>
      <c r="B30" t="s">
        <v>8</v>
      </c>
      <c r="C30" t="s">
        <v>9</v>
      </c>
      <c r="D30">
        <v>304000000</v>
      </c>
      <c r="E30">
        <v>2.9600000000000001E-2</v>
      </c>
      <c r="F30">
        <v>0.54</v>
      </c>
      <c r="G30">
        <v>2</v>
      </c>
      <c r="H30">
        <f>_xlfn.XLOOKUP(B30,Inputs!A:A,Inputs!B:B)</f>
        <v>0.75</v>
      </c>
      <c r="I30">
        <f t="shared" si="0"/>
        <v>4859136</v>
      </c>
      <c r="J30">
        <f t="shared" si="1"/>
        <v>228000000</v>
      </c>
    </row>
    <row r="31" spans="1:10" x14ac:dyDescent="0.3">
      <c r="A31" t="s">
        <v>42</v>
      </c>
      <c r="B31" t="s">
        <v>8</v>
      </c>
      <c r="C31" t="s">
        <v>9</v>
      </c>
      <c r="D31">
        <v>81000000</v>
      </c>
      <c r="E31">
        <v>3.5299999999999998E-2</v>
      </c>
      <c r="F31">
        <v>0.51</v>
      </c>
      <c r="G31">
        <v>2</v>
      </c>
      <c r="H31">
        <f>_xlfn.XLOOKUP(B31,Inputs!A:A,Inputs!B:B)</f>
        <v>0.75</v>
      </c>
      <c r="I31">
        <f t="shared" si="0"/>
        <v>1458243</v>
      </c>
      <c r="J31">
        <f t="shared" si="1"/>
        <v>60750000</v>
      </c>
    </row>
    <row r="32" spans="1:10" x14ac:dyDescent="0.3">
      <c r="A32" t="s">
        <v>43</v>
      </c>
      <c r="B32" t="s">
        <v>44</v>
      </c>
      <c r="C32" t="s">
        <v>13</v>
      </c>
      <c r="D32">
        <v>4303000000</v>
      </c>
      <c r="E32">
        <v>4.9399999999999999E-2</v>
      </c>
      <c r="F32">
        <v>0.57999999999999996</v>
      </c>
      <c r="G32">
        <v>5</v>
      </c>
      <c r="H32">
        <f>_xlfn.XLOOKUP(B32,Inputs!A:A,Inputs!B:B)</f>
        <v>1</v>
      </c>
      <c r="I32">
        <f t="shared" si="0"/>
        <v>123289555.99999999</v>
      </c>
      <c r="J32">
        <f t="shared" si="1"/>
        <v>4303000000</v>
      </c>
    </row>
    <row r="33" spans="1:10" x14ac:dyDescent="0.3">
      <c r="A33" t="s">
        <v>45</v>
      </c>
      <c r="B33" t="s">
        <v>44</v>
      </c>
      <c r="C33" t="s">
        <v>13</v>
      </c>
      <c r="D33">
        <v>2196000000</v>
      </c>
      <c r="E33">
        <v>5.0299999999999997E-2</v>
      </c>
      <c r="F33">
        <v>0.56999999999999995</v>
      </c>
      <c r="G33">
        <v>1</v>
      </c>
      <c r="H33">
        <f>_xlfn.XLOOKUP(B33,Inputs!A:A,Inputs!B:B)</f>
        <v>1</v>
      </c>
      <c r="I33">
        <f t="shared" si="0"/>
        <v>62961515.999999993</v>
      </c>
      <c r="J33">
        <f t="shared" si="1"/>
        <v>2196000000</v>
      </c>
    </row>
    <row r="34" spans="1:10" x14ac:dyDescent="0.3">
      <c r="A34" t="s">
        <v>46</v>
      </c>
      <c r="B34" t="s">
        <v>44</v>
      </c>
      <c r="C34" t="s">
        <v>19</v>
      </c>
      <c r="D34">
        <v>4051000000</v>
      </c>
      <c r="E34">
        <v>4.1000000000000002E-2</v>
      </c>
      <c r="F34">
        <v>0.48</v>
      </c>
      <c r="G34">
        <v>3</v>
      </c>
      <c r="H34">
        <f>_xlfn.XLOOKUP(B34,Inputs!A:A,Inputs!B:B)</f>
        <v>1</v>
      </c>
      <c r="I34">
        <f t="shared" si="0"/>
        <v>79723680</v>
      </c>
      <c r="J34">
        <f t="shared" si="1"/>
        <v>4051000000</v>
      </c>
    </row>
    <row r="35" spans="1:10" x14ac:dyDescent="0.3">
      <c r="A35" t="s">
        <v>47</v>
      </c>
      <c r="B35" t="s">
        <v>44</v>
      </c>
      <c r="C35" t="s">
        <v>19</v>
      </c>
      <c r="D35">
        <v>3155000000</v>
      </c>
      <c r="E35">
        <v>4.8599999999999997E-2</v>
      </c>
      <c r="F35">
        <v>0.51</v>
      </c>
      <c r="G35">
        <v>5</v>
      </c>
      <c r="H35">
        <f>_xlfn.XLOOKUP(B35,Inputs!A:A,Inputs!B:B)</f>
        <v>1</v>
      </c>
      <c r="I35">
        <f t="shared" si="0"/>
        <v>78199830</v>
      </c>
      <c r="J35">
        <f t="shared" si="1"/>
        <v>3155000000</v>
      </c>
    </row>
    <row r="36" spans="1:10" x14ac:dyDescent="0.3">
      <c r="A36" t="s">
        <v>48</v>
      </c>
      <c r="B36" t="s">
        <v>44</v>
      </c>
      <c r="C36" t="s">
        <v>19</v>
      </c>
      <c r="D36">
        <v>4188000000</v>
      </c>
      <c r="E36">
        <v>3.5499999999999997E-2</v>
      </c>
      <c r="F36">
        <v>0.52</v>
      </c>
      <c r="G36">
        <v>3</v>
      </c>
      <c r="H36">
        <f>_xlfn.XLOOKUP(B36,Inputs!A:A,Inputs!B:B)</f>
        <v>1</v>
      </c>
      <c r="I36">
        <f t="shared" si="0"/>
        <v>77310480</v>
      </c>
      <c r="J36">
        <f t="shared" si="1"/>
        <v>4188000000</v>
      </c>
    </row>
    <row r="37" spans="1:10" x14ac:dyDescent="0.3">
      <c r="A37" t="s">
        <v>49</v>
      </c>
      <c r="B37" t="s">
        <v>44</v>
      </c>
      <c r="C37" t="s">
        <v>16</v>
      </c>
      <c r="D37">
        <v>2517000000</v>
      </c>
      <c r="E37">
        <v>2.35E-2</v>
      </c>
      <c r="F37">
        <v>0.48</v>
      </c>
      <c r="G37">
        <v>3</v>
      </c>
      <c r="H37">
        <f>_xlfn.XLOOKUP(B37,Inputs!A:A,Inputs!B:B)</f>
        <v>1</v>
      </c>
      <c r="I37">
        <f t="shared" si="0"/>
        <v>28391760</v>
      </c>
      <c r="J37">
        <f t="shared" si="1"/>
        <v>2517000000</v>
      </c>
    </row>
    <row r="38" spans="1:10" x14ac:dyDescent="0.3">
      <c r="A38" t="s">
        <v>50</v>
      </c>
      <c r="B38" t="s">
        <v>44</v>
      </c>
      <c r="C38" t="s">
        <v>16</v>
      </c>
      <c r="D38">
        <v>3936000000</v>
      </c>
      <c r="E38">
        <v>5.7500000000000002E-2</v>
      </c>
      <c r="F38">
        <v>0.41</v>
      </c>
      <c r="G38">
        <v>2</v>
      </c>
      <c r="H38">
        <f>_xlfn.XLOOKUP(B38,Inputs!A:A,Inputs!B:B)</f>
        <v>1</v>
      </c>
      <c r="I38">
        <f t="shared" si="0"/>
        <v>92791200</v>
      </c>
      <c r="J38">
        <f t="shared" si="1"/>
        <v>3936000000</v>
      </c>
    </row>
    <row r="39" spans="1:10" x14ac:dyDescent="0.3">
      <c r="A39" t="s">
        <v>51</v>
      </c>
      <c r="B39" t="s">
        <v>44</v>
      </c>
      <c r="C39" t="s">
        <v>11</v>
      </c>
      <c r="D39">
        <v>2250000000</v>
      </c>
      <c r="E39">
        <v>3.3799999999999997E-2</v>
      </c>
      <c r="F39">
        <v>0.5</v>
      </c>
      <c r="G39">
        <v>3</v>
      </c>
      <c r="H39">
        <f>_xlfn.XLOOKUP(B39,Inputs!A:A,Inputs!B:B)</f>
        <v>1</v>
      </c>
      <c r="I39">
        <f t="shared" si="0"/>
        <v>38025000</v>
      </c>
      <c r="J39">
        <f t="shared" si="1"/>
        <v>2250000000</v>
      </c>
    </row>
    <row r="40" spans="1:10" x14ac:dyDescent="0.3">
      <c r="A40" t="s">
        <v>52</v>
      </c>
      <c r="B40" t="s">
        <v>44</v>
      </c>
      <c r="C40" t="s">
        <v>11</v>
      </c>
      <c r="D40">
        <v>2761000000</v>
      </c>
      <c r="E40">
        <v>5.6099999999999997E-2</v>
      </c>
      <c r="F40">
        <v>0.54</v>
      </c>
      <c r="G40">
        <v>5</v>
      </c>
      <c r="H40">
        <f>_xlfn.XLOOKUP(B40,Inputs!A:A,Inputs!B:B)</f>
        <v>1</v>
      </c>
      <c r="I40">
        <f t="shared" si="0"/>
        <v>83641734</v>
      </c>
      <c r="J40">
        <f t="shared" si="1"/>
        <v>2761000000</v>
      </c>
    </row>
    <row r="41" spans="1:10" x14ac:dyDescent="0.3">
      <c r="A41" t="s">
        <v>53</v>
      </c>
      <c r="B41" t="s">
        <v>44</v>
      </c>
      <c r="C41" t="s">
        <v>9</v>
      </c>
      <c r="D41">
        <v>2708000000</v>
      </c>
      <c r="E41">
        <v>3.7600000000000001E-2</v>
      </c>
      <c r="F41">
        <v>0.59</v>
      </c>
      <c r="G41">
        <v>2</v>
      </c>
      <c r="H41">
        <f>_xlfn.XLOOKUP(B41,Inputs!A:A,Inputs!B:B)</f>
        <v>1</v>
      </c>
      <c r="I41">
        <f t="shared" si="0"/>
        <v>60074272</v>
      </c>
      <c r="J41">
        <f t="shared" si="1"/>
        <v>2708000000</v>
      </c>
    </row>
    <row r="42" spans="1:10" x14ac:dyDescent="0.3">
      <c r="A42" t="s">
        <v>54</v>
      </c>
      <c r="B42" t="s">
        <v>44</v>
      </c>
      <c r="C42" t="s">
        <v>11</v>
      </c>
      <c r="D42">
        <v>3286000000</v>
      </c>
      <c r="E42">
        <v>2.1600000000000001E-2</v>
      </c>
      <c r="F42">
        <v>0.51</v>
      </c>
      <c r="G42">
        <v>4</v>
      </c>
      <c r="H42">
        <f>_xlfn.XLOOKUP(B42,Inputs!A:A,Inputs!B:B)</f>
        <v>1</v>
      </c>
      <c r="I42">
        <f t="shared" si="0"/>
        <v>36198576</v>
      </c>
      <c r="J42">
        <f t="shared" si="1"/>
        <v>3286000000</v>
      </c>
    </row>
    <row r="43" spans="1:10" x14ac:dyDescent="0.3">
      <c r="A43" t="s">
        <v>55</v>
      </c>
      <c r="B43" t="s">
        <v>44</v>
      </c>
      <c r="C43" t="s">
        <v>9</v>
      </c>
      <c r="D43">
        <v>4329000000</v>
      </c>
      <c r="E43">
        <v>5.9200000000000003E-2</v>
      </c>
      <c r="F43">
        <v>0.47</v>
      </c>
      <c r="G43">
        <v>2</v>
      </c>
      <c r="H43">
        <f>_xlfn.XLOOKUP(B43,Inputs!A:A,Inputs!B:B)</f>
        <v>1</v>
      </c>
      <c r="I43">
        <f t="shared" si="0"/>
        <v>120450096</v>
      </c>
      <c r="J43">
        <f t="shared" si="1"/>
        <v>4329000000</v>
      </c>
    </row>
    <row r="44" spans="1:10" x14ac:dyDescent="0.3">
      <c r="A44" t="s">
        <v>56</v>
      </c>
      <c r="B44" t="s">
        <v>44</v>
      </c>
      <c r="C44" t="s">
        <v>11</v>
      </c>
      <c r="D44">
        <v>2259000000</v>
      </c>
      <c r="E44">
        <v>4.9500000000000002E-2</v>
      </c>
      <c r="F44">
        <v>0.56999999999999995</v>
      </c>
      <c r="G44">
        <v>2</v>
      </c>
      <c r="H44">
        <f>_xlfn.XLOOKUP(B44,Inputs!A:A,Inputs!B:B)</f>
        <v>1</v>
      </c>
      <c r="I44">
        <f t="shared" si="0"/>
        <v>63737684.999999993</v>
      </c>
      <c r="J44">
        <f t="shared" si="1"/>
        <v>2259000000</v>
      </c>
    </row>
    <row r="45" spans="1:10" x14ac:dyDescent="0.3">
      <c r="A45" t="s">
        <v>57</v>
      </c>
      <c r="B45" t="s">
        <v>44</v>
      </c>
      <c r="C45" t="s">
        <v>9</v>
      </c>
      <c r="D45">
        <v>3079000000</v>
      </c>
      <c r="E45">
        <v>5.28E-2</v>
      </c>
      <c r="F45">
        <v>0.53</v>
      </c>
      <c r="G45">
        <v>4</v>
      </c>
      <c r="H45">
        <f>_xlfn.XLOOKUP(B45,Inputs!A:A,Inputs!B:B)</f>
        <v>1</v>
      </c>
      <c r="I45">
        <f t="shared" si="0"/>
        <v>86162736</v>
      </c>
      <c r="J45">
        <f t="shared" si="1"/>
        <v>3079000000</v>
      </c>
    </row>
    <row r="46" spans="1:10" x14ac:dyDescent="0.3">
      <c r="A46" t="s">
        <v>58</v>
      </c>
      <c r="B46" t="s">
        <v>44</v>
      </c>
      <c r="C46" t="s">
        <v>16</v>
      </c>
      <c r="D46">
        <v>734000000</v>
      </c>
      <c r="E46">
        <v>5.8500000000000003E-2</v>
      </c>
      <c r="F46">
        <v>0.53</v>
      </c>
      <c r="G46">
        <v>2</v>
      </c>
      <c r="H46">
        <f>_xlfn.XLOOKUP(B46,Inputs!A:A,Inputs!B:B)</f>
        <v>1</v>
      </c>
      <c r="I46">
        <f t="shared" si="0"/>
        <v>22757670</v>
      </c>
      <c r="J46">
        <f t="shared" si="1"/>
        <v>734000000</v>
      </c>
    </row>
    <row r="47" spans="1:10" x14ac:dyDescent="0.3">
      <c r="A47" t="s">
        <v>59</v>
      </c>
      <c r="B47" t="s">
        <v>60</v>
      </c>
      <c r="C47" t="s">
        <v>11</v>
      </c>
      <c r="D47">
        <v>31000000000</v>
      </c>
      <c r="E47">
        <v>2.4799999999999999E-2</v>
      </c>
      <c r="F47">
        <v>0.35</v>
      </c>
      <c r="G47">
        <v>4</v>
      </c>
      <c r="H47">
        <f>_xlfn.XLOOKUP(B47,Inputs!A:A,Inputs!B:B)</f>
        <v>1</v>
      </c>
      <c r="I47">
        <f t="shared" si="0"/>
        <v>269080000</v>
      </c>
      <c r="J47">
        <f t="shared" si="1"/>
        <v>31000000000</v>
      </c>
    </row>
    <row r="48" spans="1:10" x14ac:dyDescent="0.3">
      <c r="A48" t="s">
        <v>61</v>
      </c>
      <c r="B48" t="s">
        <v>60</v>
      </c>
      <c r="C48" t="s">
        <v>9</v>
      </c>
      <c r="D48">
        <v>16000000000</v>
      </c>
      <c r="E48">
        <v>1.47E-2</v>
      </c>
      <c r="F48">
        <v>0.46</v>
      </c>
      <c r="G48">
        <v>2</v>
      </c>
      <c r="H48">
        <f>_xlfn.XLOOKUP(B48,Inputs!A:A,Inputs!B:B)</f>
        <v>1</v>
      </c>
      <c r="I48">
        <f t="shared" si="0"/>
        <v>108192000</v>
      </c>
      <c r="J48">
        <f t="shared" si="1"/>
        <v>16000000000</v>
      </c>
    </row>
    <row r="49" spans="1:10" x14ac:dyDescent="0.3">
      <c r="A49" t="s">
        <v>62</v>
      </c>
      <c r="B49" t="s">
        <v>60</v>
      </c>
      <c r="C49" t="s">
        <v>16</v>
      </c>
      <c r="D49">
        <v>25000000000</v>
      </c>
      <c r="E49">
        <v>1.7899999999999999E-2</v>
      </c>
      <c r="F49">
        <v>0.46</v>
      </c>
      <c r="G49">
        <v>5</v>
      </c>
      <c r="H49">
        <f>_xlfn.XLOOKUP(B49,Inputs!A:A,Inputs!B:B)</f>
        <v>1</v>
      </c>
      <c r="I49">
        <f t="shared" si="0"/>
        <v>205850000</v>
      </c>
      <c r="J49">
        <f t="shared" si="1"/>
        <v>25000000000</v>
      </c>
    </row>
    <row r="50" spans="1:10" x14ac:dyDescent="0.3">
      <c r="A50" t="s">
        <v>63</v>
      </c>
      <c r="B50" t="s">
        <v>60</v>
      </c>
      <c r="C50" t="s">
        <v>19</v>
      </c>
      <c r="D50">
        <v>15000000000</v>
      </c>
      <c r="E50">
        <v>2.2100000000000002E-2</v>
      </c>
      <c r="F50">
        <v>0.34</v>
      </c>
      <c r="G50">
        <v>1</v>
      </c>
      <c r="H50">
        <f>_xlfn.XLOOKUP(B50,Inputs!A:A,Inputs!B:B)</f>
        <v>1</v>
      </c>
      <c r="I50">
        <f t="shared" si="0"/>
        <v>112710000.00000001</v>
      </c>
      <c r="J50">
        <f t="shared" si="1"/>
        <v>15000000000</v>
      </c>
    </row>
    <row r="51" spans="1:10" x14ac:dyDescent="0.3">
      <c r="A51" t="s">
        <v>64</v>
      </c>
      <c r="B51" t="s">
        <v>60</v>
      </c>
      <c r="C51" t="s">
        <v>13</v>
      </c>
      <c r="D51">
        <v>45000000000</v>
      </c>
      <c r="E51">
        <v>2.0799999999999999E-2</v>
      </c>
      <c r="F51">
        <v>0.34</v>
      </c>
      <c r="G51">
        <v>4</v>
      </c>
      <c r="H51">
        <f>_xlfn.XLOOKUP(B51,Inputs!A:A,Inputs!B:B)</f>
        <v>1</v>
      </c>
      <c r="I51">
        <f t="shared" si="0"/>
        <v>318240000</v>
      </c>
      <c r="J51">
        <f t="shared" si="1"/>
        <v>45000000000</v>
      </c>
    </row>
    <row r="53" spans="1:10" x14ac:dyDescent="0.3">
      <c r="C53" s="1" t="s">
        <v>69</v>
      </c>
      <c r="D53">
        <f>SUM(D2:D51)</f>
        <v>186041000000</v>
      </c>
      <c r="I53">
        <f>SUM(I2:I51)</f>
        <v>2170604384</v>
      </c>
      <c r="J53">
        <f>SUM(J2:J51)</f>
        <v>183968750000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1708-8795-45BD-9A36-CC814C13EADC}">
  <dimension ref="A1:G64"/>
  <sheetViews>
    <sheetView tabSelected="1" topLeftCell="A52" workbookViewId="0">
      <selection activeCell="G67" sqref="G67"/>
    </sheetView>
  </sheetViews>
  <sheetFormatPr defaultRowHeight="14.4" x14ac:dyDescent="0.3"/>
  <cols>
    <col min="1" max="1" width="13.77734375" customWidth="1"/>
    <col min="2" max="2" width="12.109375" customWidth="1"/>
    <col min="5" max="5" width="10.6640625" customWidth="1"/>
    <col min="6" max="6" width="13.6640625" customWidth="1"/>
    <col min="7" max="7" width="9.21875" customWidth="1"/>
  </cols>
  <sheetData>
    <row r="1" spans="1:7" x14ac:dyDescent="0.3">
      <c r="A1" t="s">
        <v>71</v>
      </c>
      <c r="B1" t="s">
        <v>72</v>
      </c>
      <c r="C1" s="3" t="s">
        <v>73</v>
      </c>
    </row>
    <row r="2" spans="1:7" x14ac:dyDescent="0.3">
      <c r="A2" t="s">
        <v>74</v>
      </c>
      <c r="B2">
        <v>1</v>
      </c>
      <c r="C2" s="3">
        <v>0</v>
      </c>
    </row>
    <row r="3" spans="1:7" x14ac:dyDescent="0.3">
      <c r="A3" t="s">
        <v>75</v>
      </c>
      <c r="B3">
        <v>1.5</v>
      </c>
      <c r="C3">
        <v>0.05</v>
      </c>
    </row>
    <row r="4" spans="1:7" x14ac:dyDescent="0.3">
      <c r="A4" t="s">
        <v>76</v>
      </c>
      <c r="B4">
        <v>2</v>
      </c>
      <c r="C4">
        <v>0.1</v>
      </c>
    </row>
    <row r="6" spans="1:7" x14ac:dyDescent="0.3">
      <c r="A6" s="1" t="s">
        <v>0</v>
      </c>
      <c r="B6" s="1" t="s">
        <v>3</v>
      </c>
      <c r="C6" s="1" t="s">
        <v>4</v>
      </c>
      <c r="D6" s="1" t="s">
        <v>5</v>
      </c>
      <c r="E6" s="1" t="s">
        <v>77</v>
      </c>
      <c r="F6" s="1" t="s">
        <v>78</v>
      </c>
      <c r="G6" s="1" t="s">
        <v>79</v>
      </c>
    </row>
    <row r="7" spans="1:7" x14ac:dyDescent="0.3">
      <c r="A7" t="s">
        <v>7</v>
      </c>
      <c r="B7">
        <v>247000000</v>
      </c>
      <c r="C7">
        <v>1.2200000000000001E-2</v>
      </c>
      <c r="D7">
        <v>0.47</v>
      </c>
      <c r="E7">
        <f>C7*$B$3</f>
        <v>1.83E-2</v>
      </c>
      <c r="F7">
        <f>MIN(D7+$C$3,1)</f>
        <v>0.52</v>
      </c>
      <c r="G7">
        <f>B7*E7*F7</f>
        <v>2350452</v>
      </c>
    </row>
    <row r="8" spans="1:7" x14ac:dyDescent="0.3">
      <c r="A8" t="s">
        <v>10</v>
      </c>
      <c r="B8">
        <v>109000000</v>
      </c>
      <c r="C8">
        <v>1.9699999999999999E-2</v>
      </c>
      <c r="D8">
        <v>0.45</v>
      </c>
      <c r="E8">
        <f t="shared" ref="E8:E56" si="0">C8*$B$3</f>
        <v>2.955E-2</v>
      </c>
      <c r="F8">
        <f t="shared" ref="F8:F56" si="1">MIN(D8+$C$3,1)</f>
        <v>0.5</v>
      </c>
      <c r="G8">
        <f t="shared" ref="G8:G56" si="2">B8*E8*F8</f>
        <v>1610475</v>
      </c>
    </row>
    <row r="9" spans="1:7" x14ac:dyDescent="0.3">
      <c r="A9" t="s">
        <v>12</v>
      </c>
      <c r="B9">
        <v>123000000</v>
      </c>
      <c r="C9">
        <v>3.04E-2</v>
      </c>
      <c r="D9">
        <v>0.55000000000000004</v>
      </c>
      <c r="E9">
        <f t="shared" si="0"/>
        <v>4.5600000000000002E-2</v>
      </c>
      <c r="F9">
        <f t="shared" si="1"/>
        <v>0.60000000000000009</v>
      </c>
      <c r="G9">
        <f t="shared" si="2"/>
        <v>3365280.0000000005</v>
      </c>
    </row>
    <row r="10" spans="1:7" x14ac:dyDescent="0.3">
      <c r="A10" t="s">
        <v>14</v>
      </c>
      <c r="B10">
        <v>416000000</v>
      </c>
      <c r="C10">
        <v>3.2099999999999997E-2</v>
      </c>
      <c r="D10">
        <v>0.41</v>
      </c>
      <c r="E10">
        <f t="shared" si="0"/>
        <v>4.8149999999999998E-2</v>
      </c>
      <c r="F10">
        <f t="shared" si="1"/>
        <v>0.45999999999999996</v>
      </c>
      <c r="G10">
        <f t="shared" si="2"/>
        <v>9213984</v>
      </c>
    </row>
    <row r="11" spans="1:7" x14ac:dyDescent="0.3">
      <c r="A11" t="s">
        <v>15</v>
      </c>
      <c r="B11">
        <v>94000000</v>
      </c>
      <c r="C11">
        <v>1.8599999999999998E-2</v>
      </c>
      <c r="D11">
        <v>0.39</v>
      </c>
      <c r="E11">
        <f t="shared" si="0"/>
        <v>2.7899999999999998E-2</v>
      </c>
      <c r="F11">
        <f t="shared" si="1"/>
        <v>0.44</v>
      </c>
      <c r="G11">
        <f t="shared" si="2"/>
        <v>1153944</v>
      </c>
    </row>
    <row r="12" spans="1:7" x14ac:dyDescent="0.3">
      <c r="A12" t="s">
        <v>17</v>
      </c>
      <c r="B12">
        <v>262000000</v>
      </c>
      <c r="C12">
        <v>3.4099999999999998E-2</v>
      </c>
      <c r="D12">
        <v>0.47</v>
      </c>
      <c r="E12">
        <f t="shared" si="0"/>
        <v>5.1150000000000001E-2</v>
      </c>
      <c r="F12">
        <f t="shared" si="1"/>
        <v>0.52</v>
      </c>
      <c r="G12">
        <f t="shared" si="2"/>
        <v>6968676</v>
      </c>
    </row>
    <row r="13" spans="1:7" x14ac:dyDescent="0.3">
      <c r="A13" t="s">
        <v>18</v>
      </c>
      <c r="B13">
        <v>356000000</v>
      </c>
      <c r="C13">
        <v>3.5200000000000002E-2</v>
      </c>
      <c r="D13">
        <v>0.49</v>
      </c>
      <c r="E13">
        <f t="shared" si="0"/>
        <v>5.28E-2</v>
      </c>
      <c r="F13">
        <f t="shared" si="1"/>
        <v>0.54</v>
      </c>
      <c r="G13">
        <f t="shared" si="2"/>
        <v>10150272</v>
      </c>
    </row>
    <row r="14" spans="1:7" x14ac:dyDescent="0.3">
      <c r="A14" t="s">
        <v>20</v>
      </c>
      <c r="B14">
        <v>248000000</v>
      </c>
      <c r="C14">
        <v>3.9E-2</v>
      </c>
      <c r="D14">
        <v>0.54</v>
      </c>
      <c r="E14">
        <f t="shared" si="0"/>
        <v>5.8499999999999996E-2</v>
      </c>
      <c r="F14">
        <f t="shared" si="1"/>
        <v>0.59000000000000008</v>
      </c>
      <c r="G14">
        <f t="shared" si="2"/>
        <v>8559720.0000000019</v>
      </c>
    </row>
    <row r="15" spans="1:7" x14ac:dyDescent="0.3">
      <c r="A15" t="s">
        <v>21</v>
      </c>
      <c r="B15">
        <v>380000000</v>
      </c>
      <c r="C15">
        <v>2.9000000000000001E-2</v>
      </c>
      <c r="D15">
        <v>0.45</v>
      </c>
      <c r="E15">
        <f t="shared" si="0"/>
        <v>4.3500000000000004E-2</v>
      </c>
      <c r="F15">
        <f t="shared" si="1"/>
        <v>0.5</v>
      </c>
      <c r="G15">
        <f t="shared" si="2"/>
        <v>8265000.0000000009</v>
      </c>
    </row>
    <row r="16" spans="1:7" x14ac:dyDescent="0.3">
      <c r="A16" t="s">
        <v>22</v>
      </c>
      <c r="B16">
        <v>280000000</v>
      </c>
      <c r="C16">
        <v>2.5000000000000001E-2</v>
      </c>
      <c r="D16">
        <v>0.37</v>
      </c>
      <c r="E16">
        <f t="shared" si="0"/>
        <v>3.7500000000000006E-2</v>
      </c>
      <c r="F16">
        <f t="shared" si="1"/>
        <v>0.42</v>
      </c>
      <c r="G16">
        <f t="shared" si="2"/>
        <v>4410000.0000000009</v>
      </c>
    </row>
    <row r="17" spans="1:7" x14ac:dyDescent="0.3">
      <c r="A17" t="s">
        <v>23</v>
      </c>
      <c r="B17">
        <v>135000000</v>
      </c>
      <c r="C17">
        <v>3.2899999999999999E-2</v>
      </c>
      <c r="D17">
        <v>0.52</v>
      </c>
      <c r="E17">
        <f t="shared" si="0"/>
        <v>4.9349999999999998E-2</v>
      </c>
      <c r="F17">
        <f t="shared" si="1"/>
        <v>0.57000000000000006</v>
      </c>
      <c r="G17">
        <f t="shared" si="2"/>
        <v>3797482.5000000005</v>
      </c>
    </row>
    <row r="18" spans="1:7" x14ac:dyDescent="0.3">
      <c r="A18" t="s">
        <v>24</v>
      </c>
      <c r="B18">
        <v>421000000</v>
      </c>
      <c r="C18">
        <v>3.2000000000000001E-2</v>
      </c>
      <c r="D18">
        <v>0.54</v>
      </c>
      <c r="E18">
        <f t="shared" si="0"/>
        <v>4.8000000000000001E-2</v>
      </c>
      <c r="F18">
        <f t="shared" si="1"/>
        <v>0.59000000000000008</v>
      </c>
      <c r="G18">
        <f t="shared" si="2"/>
        <v>11922720.000000002</v>
      </c>
    </row>
    <row r="19" spans="1:7" x14ac:dyDescent="0.3">
      <c r="A19" t="s">
        <v>25</v>
      </c>
      <c r="B19">
        <v>298000000</v>
      </c>
      <c r="C19">
        <v>1.2999999999999999E-2</v>
      </c>
      <c r="D19">
        <v>0.36</v>
      </c>
      <c r="E19">
        <f t="shared" si="0"/>
        <v>1.95E-2</v>
      </c>
      <c r="F19">
        <f t="shared" si="1"/>
        <v>0.41</v>
      </c>
      <c r="G19">
        <f t="shared" si="2"/>
        <v>2382510</v>
      </c>
    </row>
    <row r="20" spans="1:7" x14ac:dyDescent="0.3">
      <c r="A20" t="s">
        <v>26</v>
      </c>
      <c r="B20">
        <v>411000000</v>
      </c>
      <c r="C20">
        <v>2.7799999999999998E-2</v>
      </c>
      <c r="D20">
        <v>0.49</v>
      </c>
      <c r="E20">
        <f t="shared" si="0"/>
        <v>4.1700000000000001E-2</v>
      </c>
      <c r="F20">
        <f t="shared" si="1"/>
        <v>0.54</v>
      </c>
      <c r="G20">
        <f t="shared" si="2"/>
        <v>9254898</v>
      </c>
    </row>
    <row r="21" spans="1:7" x14ac:dyDescent="0.3">
      <c r="A21" t="s">
        <v>27</v>
      </c>
      <c r="B21">
        <v>273000000</v>
      </c>
      <c r="C21">
        <v>2.3099999999999999E-2</v>
      </c>
      <c r="D21">
        <v>0.44</v>
      </c>
      <c r="E21">
        <f t="shared" si="0"/>
        <v>3.465E-2</v>
      </c>
      <c r="F21">
        <f t="shared" si="1"/>
        <v>0.49</v>
      </c>
      <c r="G21">
        <f t="shared" si="2"/>
        <v>4635130.5</v>
      </c>
    </row>
    <row r="22" spans="1:7" x14ac:dyDescent="0.3">
      <c r="A22" t="s">
        <v>28</v>
      </c>
      <c r="B22">
        <v>477000000</v>
      </c>
      <c r="C22">
        <v>3.5400000000000001E-2</v>
      </c>
      <c r="D22">
        <v>0.44</v>
      </c>
      <c r="E22">
        <f t="shared" si="0"/>
        <v>5.3100000000000001E-2</v>
      </c>
      <c r="F22">
        <f t="shared" si="1"/>
        <v>0.49</v>
      </c>
      <c r="G22">
        <f t="shared" si="2"/>
        <v>12411063</v>
      </c>
    </row>
    <row r="23" spans="1:7" x14ac:dyDescent="0.3">
      <c r="A23" t="s">
        <v>29</v>
      </c>
      <c r="B23">
        <v>234000000</v>
      </c>
      <c r="C23">
        <v>2.76E-2</v>
      </c>
      <c r="D23">
        <v>0.5</v>
      </c>
      <c r="E23">
        <f t="shared" si="0"/>
        <v>4.1399999999999999E-2</v>
      </c>
      <c r="F23">
        <f t="shared" si="1"/>
        <v>0.55000000000000004</v>
      </c>
      <c r="G23">
        <f t="shared" si="2"/>
        <v>5328180</v>
      </c>
    </row>
    <row r="24" spans="1:7" x14ac:dyDescent="0.3">
      <c r="A24" t="s">
        <v>30</v>
      </c>
      <c r="B24">
        <v>141000000</v>
      </c>
      <c r="C24">
        <v>2.2499999999999999E-2</v>
      </c>
      <c r="D24">
        <v>0.46</v>
      </c>
      <c r="E24">
        <f t="shared" si="0"/>
        <v>3.3750000000000002E-2</v>
      </c>
      <c r="F24">
        <f t="shared" si="1"/>
        <v>0.51</v>
      </c>
      <c r="G24">
        <f t="shared" si="2"/>
        <v>2426962.5</v>
      </c>
    </row>
    <row r="25" spans="1:7" x14ac:dyDescent="0.3">
      <c r="A25" t="s">
        <v>31</v>
      </c>
      <c r="B25">
        <v>191000000</v>
      </c>
      <c r="C25">
        <v>3.6600000000000001E-2</v>
      </c>
      <c r="D25">
        <v>0.45</v>
      </c>
      <c r="E25">
        <f t="shared" si="0"/>
        <v>5.4900000000000004E-2</v>
      </c>
      <c r="F25">
        <f t="shared" si="1"/>
        <v>0.5</v>
      </c>
      <c r="G25">
        <f t="shared" si="2"/>
        <v>5242950</v>
      </c>
    </row>
    <row r="26" spans="1:7" x14ac:dyDescent="0.3">
      <c r="A26" t="s">
        <v>32</v>
      </c>
      <c r="B26">
        <v>383000000</v>
      </c>
      <c r="C26">
        <v>1.2500000000000001E-2</v>
      </c>
      <c r="D26">
        <v>0.53</v>
      </c>
      <c r="E26">
        <f t="shared" si="0"/>
        <v>1.8750000000000003E-2</v>
      </c>
      <c r="F26">
        <f t="shared" si="1"/>
        <v>0.58000000000000007</v>
      </c>
      <c r="G26">
        <f t="shared" si="2"/>
        <v>4165125.0000000009</v>
      </c>
    </row>
    <row r="27" spans="1:7" x14ac:dyDescent="0.3">
      <c r="A27" t="s">
        <v>33</v>
      </c>
      <c r="B27">
        <v>390000000</v>
      </c>
      <c r="C27">
        <v>2.3400000000000001E-2</v>
      </c>
      <c r="D27">
        <v>0.52</v>
      </c>
      <c r="E27">
        <f t="shared" si="0"/>
        <v>3.5099999999999999E-2</v>
      </c>
      <c r="F27">
        <f t="shared" si="1"/>
        <v>0.57000000000000006</v>
      </c>
      <c r="G27">
        <f t="shared" si="2"/>
        <v>7802730.0000000009</v>
      </c>
    </row>
    <row r="28" spans="1:7" x14ac:dyDescent="0.3">
      <c r="A28" t="s">
        <v>34</v>
      </c>
      <c r="B28">
        <v>236000000</v>
      </c>
      <c r="C28">
        <v>2.3699999999999999E-2</v>
      </c>
      <c r="D28">
        <v>0.54</v>
      </c>
      <c r="E28">
        <f t="shared" si="0"/>
        <v>3.5549999999999998E-2</v>
      </c>
      <c r="F28">
        <f t="shared" si="1"/>
        <v>0.59000000000000008</v>
      </c>
      <c r="G28">
        <f t="shared" si="2"/>
        <v>4949982.0000000009</v>
      </c>
    </row>
    <row r="29" spans="1:7" x14ac:dyDescent="0.3">
      <c r="A29" t="s">
        <v>35</v>
      </c>
      <c r="B29">
        <v>241000000</v>
      </c>
      <c r="C29">
        <v>2.3099999999999999E-2</v>
      </c>
      <c r="D29">
        <v>0.46</v>
      </c>
      <c r="E29">
        <f t="shared" si="0"/>
        <v>3.465E-2</v>
      </c>
      <c r="F29">
        <f t="shared" si="1"/>
        <v>0.51</v>
      </c>
      <c r="G29">
        <f t="shared" si="2"/>
        <v>4258831.5</v>
      </c>
    </row>
    <row r="30" spans="1:7" x14ac:dyDescent="0.3">
      <c r="A30" t="s">
        <v>36</v>
      </c>
      <c r="B30">
        <v>350000000</v>
      </c>
      <c r="C30">
        <v>1.5800000000000002E-2</v>
      </c>
      <c r="D30">
        <v>0.38</v>
      </c>
      <c r="E30">
        <f t="shared" si="0"/>
        <v>2.3700000000000002E-2</v>
      </c>
      <c r="F30">
        <f t="shared" si="1"/>
        <v>0.43</v>
      </c>
      <c r="G30">
        <f t="shared" si="2"/>
        <v>3566850.0000000005</v>
      </c>
    </row>
    <row r="31" spans="1:7" x14ac:dyDescent="0.3">
      <c r="A31" t="s">
        <v>37</v>
      </c>
      <c r="B31">
        <v>323000000</v>
      </c>
      <c r="C31">
        <v>3.0800000000000001E-2</v>
      </c>
      <c r="D31">
        <v>0.41</v>
      </c>
      <c r="E31">
        <f t="shared" si="0"/>
        <v>4.6200000000000005E-2</v>
      </c>
      <c r="F31">
        <f t="shared" si="1"/>
        <v>0.45999999999999996</v>
      </c>
      <c r="G31">
        <f t="shared" si="2"/>
        <v>6864396</v>
      </c>
    </row>
    <row r="32" spans="1:7" x14ac:dyDescent="0.3">
      <c r="A32" t="s">
        <v>38</v>
      </c>
      <c r="B32">
        <v>388000000</v>
      </c>
      <c r="C32">
        <v>2.8199999999999999E-2</v>
      </c>
      <c r="D32">
        <v>0.39</v>
      </c>
      <c r="E32">
        <f t="shared" si="0"/>
        <v>4.2299999999999997E-2</v>
      </c>
      <c r="F32">
        <f t="shared" si="1"/>
        <v>0.44</v>
      </c>
      <c r="G32">
        <f t="shared" si="2"/>
        <v>7221455.9999999991</v>
      </c>
    </row>
    <row r="33" spans="1:7" x14ac:dyDescent="0.3">
      <c r="A33" t="s">
        <v>39</v>
      </c>
      <c r="B33">
        <v>333000000</v>
      </c>
      <c r="C33">
        <v>2.5399999999999999E-2</v>
      </c>
      <c r="D33">
        <v>0.37</v>
      </c>
      <c r="E33">
        <f t="shared" si="0"/>
        <v>3.8099999999999995E-2</v>
      </c>
      <c r="F33">
        <f t="shared" si="1"/>
        <v>0.42</v>
      </c>
      <c r="G33">
        <f t="shared" si="2"/>
        <v>5328665.9999999991</v>
      </c>
    </row>
    <row r="34" spans="1:7" x14ac:dyDescent="0.3">
      <c r="A34" t="s">
        <v>40</v>
      </c>
      <c r="B34">
        <v>164000000</v>
      </c>
      <c r="C34">
        <v>2.2499999999999999E-2</v>
      </c>
      <c r="D34">
        <v>0.47</v>
      </c>
      <c r="E34">
        <f t="shared" si="0"/>
        <v>3.3750000000000002E-2</v>
      </c>
      <c r="F34">
        <f t="shared" si="1"/>
        <v>0.52</v>
      </c>
      <c r="G34">
        <f t="shared" si="2"/>
        <v>2878200</v>
      </c>
    </row>
    <row r="35" spans="1:7" x14ac:dyDescent="0.3">
      <c r="A35" t="s">
        <v>41</v>
      </c>
      <c r="B35">
        <v>304000000</v>
      </c>
      <c r="C35">
        <v>2.9600000000000001E-2</v>
      </c>
      <c r="D35">
        <v>0.54</v>
      </c>
      <c r="E35">
        <f t="shared" si="0"/>
        <v>4.4400000000000002E-2</v>
      </c>
      <c r="F35">
        <f t="shared" si="1"/>
        <v>0.59000000000000008</v>
      </c>
      <c r="G35">
        <f t="shared" si="2"/>
        <v>7963584.0000000009</v>
      </c>
    </row>
    <row r="36" spans="1:7" x14ac:dyDescent="0.3">
      <c r="A36" t="s">
        <v>42</v>
      </c>
      <c r="B36">
        <v>81000000</v>
      </c>
      <c r="C36">
        <v>3.5299999999999998E-2</v>
      </c>
      <c r="D36">
        <v>0.51</v>
      </c>
      <c r="E36">
        <f t="shared" si="0"/>
        <v>5.2949999999999997E-2</v>
      </c>
      <c r="F36">
        <f t="shared" si="1"/>
        <v>0.56000000000000005</v>
      </c>
      <c r="G36">
        <f t="shared" si="2"/>
        <v>2401812</v>
      </c>
    </row>
    <row r="37" spans="1:7" x14ac:dyDescent="0.3">
      <c r="A37" t="s">
        <v>43</v>
      </c>
      <c r="B37">
        <v>4303000000</v>
      </c>
      <c r="C37">
        <v>4.9399999999999999E-2</v>
      </c>
      <c r="D37">
        <v>0.57999999999999996</v>
      </c>
      <c r="E37">
        <f t="shared" si="0"/>
        <v>7.4099999999999999E-2</v>
      </c>
      <c r="F37">
        <f t="shared" si="1"/>
        <v>0.63</v>
      </c>
      <c r="G37">
        <f t="shared" si="2"/>
        <v>200876949</v>
      </c>
    </row>
    <row r="38" spans="1:7" x14ac:dyDescent="0.3">
      <c r="A38" t="s">
        <v>45</v>
      </c>
      <c r="B38">
        <v>2196000000</v>
      </c>
      <c r="C38">
        <v>5.0299999999999997E-2</v>
      </c>
      <c r="D38">
        <v>0.56999999999999995</v>
      </c>
      <c r="E38">
        <f t="shared" si="0"/>
        <v>7.5449999999999989E-2</v>
      </c>
      <c r="F38">
        <f t="shared" si="1"/>
        <v>0.62</v>
      </c>
      <c r="G38">
        <f t="shared" si="2"/>
        <v>102726683.99999999</v>
      </c>
    </row>
    <row r="39" spans="1:7" x14ac:dyDescent="0.3">
      <c r="A39" t="s">
        <v>46</v>
      </c>
      <c r="B39">
        <v>4051000000</v>
      </c>
      <c r="C39">
        <v>4.1000000000000002E-2</v>
      </c>
      <c r="D39">
        <v>0.48</v>
      </c>
      <c r="E39">
        <f t="shared" si="0"/>
        <v>6.1499999999999999E-2</v>
      </c>
      <c r="F39">
        <f t="shared" si="1"/>
        <v>0.53</v>
      </c>
      <c r="G39">
        <f t="shared" si="2"/>
        <v>132042345</v>
      </c>
    </row>
    <row r="40" spans="1:7" x14ac:dyDescent="0.3">
      <c r="A40" t="s">
        <v>47</v>
      </c>
      <c r="B40">
        <v>3155000000</v>
      </c>
      <c r="C40">
        <v>4.8599999999999997E-2</v>
      </c>
      <c r="D40">
        <v>0.51</v>
      </c>
      <c r="E40">
        <f t="shared" si="0"/>
        <v>7.2899999999999993E-2</v>
      </c>
      <c r="F40">
        <f t="shared" si="1"/>
        <v>0.56000000000000005</v>
      </c>
      <c r="G40">
        <f t="shared" si="2"/>
        <v>128799720</v>
      </c>
    </row>
    <row r="41" spans="1:7" x14ac:dyDescent="0.3">
      <c r="A41" t="s">
        <v>48</v>
      </c>
      <c r="B41">
        <v>4188000000</v>
      </c>
      <c r="C41">
        <v>3.5499999999999997E-2</v>
      </c>
      <c r="D41">
        <v>0.52</v>
      </c>
      <c r="E41">
        <f t="shared" si="0"/>
        <v>5.3249999999999992E-2</v>
      </c>
      <c r="F41">
        <f t="shared" si="1"/>
        <v>0.57000000000000006</v>
      </c>
      <c r="G41">
        <f t="shared" si="2"/>
        <v>127116270</v>
      </c>
    </row>
    <row r="42" spans="1:7" x14ac:dyDescent="0.3">
      <c r="A42" t="s">
        <v>49</v>
      </c>
      <c r="B42">
        <v>2517000000</v>
      </c>
      <c r="C42">
        <v>2.35E-2</v>
      </c>
      <c r="D42">
        <v>0.48</v>
      </c>
      <c r="E42">
        <f t="shared" si="0"/>
        <v>3.5250000000000004E-2</v>
      </c>
      <c r="F42">
        <f t="shared" si="1"/>
        <v>0.53</v>
      </c>
      <c r="G42">
        <f t="shared" si="2"/>
        <v>47023852.500000007</v>
      </c>
    </row>
    <row r="43" spans="1:7" x14ac:dyDescent="0.3">
      <c r="A43" t="s">
        <v>50</v>
      </c>
      <c r="B43">
        <v>3936000000</v>
      </c>
      <c r="C43">
        <v>5.7500000000000002E-2</v>
      </c>
      <c r="D43">
        <v>0.41</v>
      </c>
      <c r="E43">
        <f t="shared" si="0"/>
        <v>8.6250000000000007E-2</v>
      </c>
      <c r="F43">
        <f t="shared" si="1"/>
        <v>0.45999999999999996</v>
      </c>
      <c r="G43">
        <f t="shared" si="2"/>
        <v>156160800</v>
      </c>
    </row>
    <row r="44" spans="1:7" x14ac:dyDescent="0.3">
      <c r="A44" t="s">
        <v>51</v>
      </c>
      <c r="B44">
        <v>2250000000</v>
      </c>
      <c r="C44">
        <v>3.3799999999999997E-2</v>
      </c>
      <c r="D44">
        <v>0.5</v>
      </c>
      <c r="E44">
        <f t="shared" si="0"/>
        <v>5.0699999999999995E-2</v>
      </c>
      <c r="F44">
        <f t="shared" si="1"/>
        <v>0.55000000000000004</v>
      </c>
      <c r="G44">
        <f t="shared" si="2"/>
        <v>62741250</v>
      </c>
    </row>
    <row r="45" spans="1:7" x14ac:dyDescent="0.3">
      <c r="A45" t="s">
        <v>52</v>
      </c>
      <c r="B45">
        <v>2761000000</v>
      </c>
      <c r="C45">
        <v>5.6099999999999997E-2</v>
      </c>
      <c r="D45">
        <v>0.54</v>
      </c>
      <c r="E45">
        <f t="shared" si="0"/>
        <v>8.4150000000000003E-2</v>
      </c>
      <c r="F45">
        <f t="shared" si="1"/>
        <v>0.59000000000000008</v>
      </c>
      <c r="G45">
        <f t="shared" si="2"/>
        <v>137079508.50000003</v>
      </c>
    </row>
    <row r="46" spans="1:7" x14ac:dyDescent="0.3">
      <c r="A46" t="s">
        <v>53</v>
      </c>
      <c r="B46">
        <v>2708000000</v>
      </c>
      <c r="C46">
        <v>3.7600000000000001E-2</v>
      </c>
      <c r="D46">
        <v>0.59</v>
      </c>
      <c r="E46">
        <f t="shared" si="0"/>
        <v>5.6400000000000006E-2</v>
      </c>
      <c r="F46">
        <f t="shared" si="1"/>
        <v>0.64</v>
      </c>
      <c r="G46">
        <f t="shared" si="2"/>
        <v>97747968.000000015</v>
      </c>
    </row>
    <row r="47" spans="1:7" x14ac:dyDescent="0.3">
      <c r="A47" t="s">
        <v>54</v>
      </c>
      <c r="B47">
        <v>3286000000</v>
      </c>
      <c r="C47">
        <v>2.1600000000000001E-2</v>
      </c>
      <c r="D47">
        <v>0.51</v>
      </c>
      <c r="E47">
        <f t="shared" si="0"/>
        <v>3.2399999999999998E-2</v>
      </c>
      <c r="F47">
        <f t="shared" si="1"/>
        <v>0.56000000000000005</v>
      </c>
      <c r="G47">
        <f t="shared" si="2"/>
        <v>59621184.000000007</v>
      </c>
    </row>
    <row r="48" spans="1:7" x14ac:dyDescent="0.3">
      <c r="A48" t="s">
        <v>55</v>
      </c>
      <c r="B48">
        <v>4329000000</v>
      </c>
      <c r="C48">
        <v>5.9200000000000003E-2</v>
      </c>
      <c r="D48">
        <v>0.47</v>
      </c>
      <c r="E48">
        <f t="shared" si="0"/>
        <v>8.8800000000000004E-2</v>
      </c>
      <c r="F48">
        <f t="shared" si="1"/>
        <v>0.52</v>
      </c>
      <c r="G48">
        <f t="shared" si="2"/>
        <v>199895904</v>
      </c>
    </row>
    <row r="49" spans="1:7" x14ac:dyDescent="0.3">
      <c r="A49" t="s">
        <v>56</v>
      </c>
      <c r="B49">
        <v>2259000000</v>
      </c>
      <c r="C49">
        <v>4.9500000000000002E-2</v>
      </c>
      <c r="D49">
        <v>0.56999999999999995</v>
      </c>
      <c r="E49">
        <f t="shared" si="0"/>
        <v>7.425000000000001E-2</v>
      </c>
      <c r="F49">
        <f t="shared" si="1"/>
        <v>0.62</v>
      </c>
      <c r="G49">
        <f t="shared" si="2"/>
        <v>103993065.00000001</v>
      </c>
    </row>
    <row r="50" spans="1:7" x14ac:dyDescent="0.3">
      <c r="A50" t="s">
        <v>57</v>
      </c>
      <c r="B50">
        <v>3079000000</v>
      </c>
      <c r="C50">
        <v>5.28E-2</v>
      </c>
      <c r="D50">
        <v>0.53</v>
      </c>
      <c r="E50">
        <f t="shared" si="0"/>
        <v>7.9199999999999993E-2</v>
      </c>
      <c r="F50">
        <f t="shared" si="1"/>
        <v>0.58000000000000007</v>
      </c>
      <c r="G50">
        <f t="shared" si="2"/>
        <v>141436944</v>
      </c>
    </row>
    <row r="51" spans="1:7" x14ac:dyDescent="0.3">
      <c r="A51" t="s">
        <v>58</v>
      </c>
      <c r="B51">
        <v>734000000</v>
      </c>
      <c r="C51">
        <v>5.8500000000000003E-2</v>
      </c>
      <c r="D51">
        <v>0.53</v>
      </c>
      <c r="E51">
        <f t="shared" si="0"/>
        <v>8.7750000000000009E-2</v>
      </c>
      <c r="F51">
        <f t="shared" si="1"/>
        <v>0.58000000000000007</v>
      </c>
      <c r="G51">
        <f t="shared" si="2"/>
        <v>37356930.000000007</v>
      </c>
    </row>
    <row r="52" spans="1:7" x14ac:dyDescent="0.3">
      <c r="A52" t="s">
        <v>59</v>
      </c>
      <c r="B52">
        <v>31000000000</v>
      </c>
      <c r="C52">
        <v>2.4799999999999999E-2</v>
      </c>
      <c r="D52">
        <v>0.35</v>
      </c>
      <c r="E52">
        <f t="shared" si="0"/>
        <v>3.7199999999999997E-2</v>
      </c>
      <c r="F52">
        <f t="shared" si="1"/>
        <v>0.39999999999999997</v>
      </c>
      <c r="G52">
        <f t="shared" si="2"/>
        <v>461279999.99999994</v>
      </c>
    </row>
    <row r="53" spans="1:7" x14ac:dyDescent="0.3">
      <c r="A53" t="s">
        <v>61</v>
      </c>
      <c r="B53">
        <v>16000000000</v>
      </c>
      <c r="C53">
        <v>1.47E-2</v>
      </c>
      <c r="D53">
        <v>0.46</v>
      </c>
      <c r="E53">
        <f t="shared" si="0"/>
        <v>2.205E-2</v>
      </c>
      <c r="F53">
        <f t="shared" si="1"/>
        <v>0.51</v>
      </c>
      <c r="G53">
        <f t="shared" si="2"/>
        <v>179928000</v>
      </c>
    </row>
    <row r="54" spans="1:7" x14ac:dyDescent="0.3">
      <c r="A54" t="s">
        <v>62</v>
      </c>
      <c r="B54">
        <v>25000000000</v>
      </c>
      <c r="C54">
        <v>1.7899999999999999E-2</v>
      </c>
      <c r="D54">
        <v>0.46</v>
      </c>
      <c r="E54">
        <f t="shared" si="0"/>
        <v>2.6849999999999999E-2</v>
      </c>
      <c r="F54">
        <f t="shared" si="1"/>
        <v>0.51</v>
      </c>
      <c r="G54">
        <f t="shared" si="2"/>
        <v>342337500</v>
      </c>
    </row>
    <row r="55" spans="1:7" x14ac:dyDescent="0.3">
      <c r="A55" t="s">
        <v>63</v>
      </c>
      <c r="B55">
        <v>15000000000</v>
      </c>
      <c r="C55">
        <v>2.2100000000000002E-2</v>
      </c>
      <c r="D55">
        <v>0.34</v>
      </c>
      <c r="E55">
        <f t="shared" si="0"/>
        <v>3.3149999999999999E-2</v>
      </c>
      <c r="F55">
        <f t="shared" si="1"/>
        <v>0.39</v>
      </c>
      <c r="G55">
        <f t="shared" si="2"/>
        <v>193927500</v>
      </c>
    </row>
    <row r="56" spans="1:7" x14ac:dyDescent="0.3">
      <c r="A56" t="s">
        <v>64</v>
      </c>
      <c r="B56">
        <v>45000000000</v>
      </c>
      <c r="C56">
        <v>2.0799999999999999E-2</v>
      </c>
      <c r="D56">
        <v>0.34</v>
      </c>
      <c r="E56">
        <f t="shared" si="0"/>
        <v>3.1199999999999999E-2</v>
      </c>
      <c r="F56">
        <f t="shared" si="1"/>
        <v>0.39</v>
      </c>
      <c r="G56">
        <f t="shared" si="2"/>
        <v>547560000</v>
      </c>
    </row>
    <row r="57" spans="1:7" x14ac:dyDescent="0.3">
      <c r="F57" s="1" t="s">
        <v>80</v>
      </c>
      <c r="G57">
        <f>SUM(G7:G56)</f>
        <v>3630503706</v>
      </c>
    </row>
    <row r="59" spans="1:7" x14ac:dyDescent="0.3">
      <c r="F59" s="1" t="s">
        <v>81</v>
      </c>
      <c r="G59">
        <f>Calculations!M2</f>
        <v>18396875000</v>
      </c>
    </row>
    <row r="60" spans="1:7" x14ac:dyDescent="0.3">
      <c r="F60" s="1" t="s">
        <v>82</v>
      </c>
      <c r="G60">
        <f>Calculations!I53</f>
        <v>2170604384</v>
      </c>
    </row>
    <row r="61" spans="1:7" x14ac:dyDescent="0.3">
      <c r="F61" s="1" t="s">
        <v>83</v>
      </c>
      <c r="G61">
        <f>Calculations!J53</f>
        <v>183968750000</v>
      </c>
    </row>
    <row r="63" spans="1:7" x14ac:dyDescent="0.3">
      <c r="F63" s="1" t="s">
        <v>84</v>
      </c>
      <c r="G63">
        <f>G59-(G57-G60)</f>
        <v>16936975678</v>
      </c>
    </row>
    <row r="64" spans="1:7" x14ac:dyDescent="0.3">
      <c r="F64" s="1" t="s">
        <v>85</v>
      </c>
      <c r="G64" s="2">
        <f>G63/G61</f>
        <v>9.2064416799048754E-2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Portfolio</vt:lpstr>
      <vt:lpstr>Inputs</vt:lpstr>
      <vt:lpstr>Calculations</vt:lpstr>
      <vt:lpstr>Stress_Test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 Minh Luan</cp:lastModifiedBy>
  <dcterms:created xsi:type="dcterms:W3CDTF">2025-12-14T05:31:33Z</dcterms:created>
  <dcterms:modified xsi:type="dcterms:W3CDTF">2025-12-14T07:05:34Z</dcterms:modified>
</cp:coreProperties>
</file>